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c2057430e44be2f/Documents/Year 4/Publishing/MATH3205_MPDPTW_Project-main/MATH3205_MPDPTW_Project-main/"/>
    </mc:Choice>
  </mc:AlternateContent>
  <xr:revisionPtr revIDLastSave="758" documentId="11_6131984955D9C33FDB66D9F0562E083178FA06C0" xr6:coauthVersionLast="47" xr6:coauthVersionMax="47" xr10:uidLastSave="{D6D28738-E02E-4299-8AEE-C63D19AA7268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8" i="1" l="1"/>
  <c r="M56" i="1" s="1"/>
  <c r="P56" i="1" s="1"/>
  <c r="D99" i="1"/>
  <c r="M57" i="1" s="1"/>
  <c r="P57" i="1" s="1"/>
  <c r="D102" i="1"/>
  <c r="M59" i="1" s="1"/>
  <c r="P59" i="1" s="1"/>
  <c r="D101" i="1"/>
  <c r="F31" i="2"/>
  <c r="F32" i="2"/>
  <c r="F33" i="2"/>
  <c r="D33" i="2"/>
  <c r="D32" i="2"/>
  <c r="D31" i="2"/>
  <c r="F12" i="2"/>
  <c r="G12" i="2" s="1"/>
  <c r="F11" i="2"/>
  <c r="F10" i="2"/>
  <c r="F9" i="2"/>
  <c r="C32" i="2"/>
  <c r="F8" i="2"/>
  <c r="D12" i="2"/>
  <c r="D11" i="2"/>
  <c r="D10" i="2"/>
  <c r="D9" i="2"/>
  <c r="D22" i="2"/>
  <c r="D8" i="2"/>
  <c r="C12" i="2"/>
  <c r="C11" i="2"/>
  <c r="C10" i="2"/>
  <c r="C9" i="2"/>
  <c r="C8" i="2"/>
  <c r="E31" i="2"/>
  <c r="C31" i="2"/>
  <c r="F22" i="2"/>
  <c r="F21" i="2"/>
  <c r="F20" i="2"/>
  <c r="F19" i="2"/>
  <c r="F18" i="2"/>
  <c r="D21" i="2"/>
  <c r="D20" i="2"/>
  <c r="D19" i="2"/>
  <c r="D18" i="2"/>
  <c r="C22" i="2"/>
  <c r="C21" i="2"/>
  <c r="C20" i="2"/>
  <c r="C19" i="2"/>
  <c r="C18" i="2"/>
  <c r="F17" i="2"/>
  <c r="G17" i="2" s="1"/>
  <c r="C33" i="2"/>
  <c r="E33" i="2"/>
  <c r="F16" i="2"/>
  <c r="F15" i="2"/>
  <c r="G13" i="2"/>
  <c r="F14" i="2"/>
  <c r="C13" i="2"/>
  <c r="C14" i="2"/>
  <c r="C15" i="2"/>
  <c r="C16" i="2"/>
  <c r="C17" i="2"/>
  <c r="F13" i="2"/>
  <c r="D17" i="2"/>
  <c r="D16" i="2"/>
  <c r="G16" i="2" s="1"/>
  <c r="D15" i="2"/>
  <c r="G15" i="2" s="1"/>
  <c r="D14" i="2"/>
  <c r="G14" i="2" s="1"/>
  <c r="D13" i="2"/>
  <c r="G10" i="2"/>
  <c r="G9" i="2"/>
  <c r="E32" i="2"/>
  <c r="W71" i="1"/>
  <c r="V71" i="1"/>
  <c r="U71" i="1"/>
  <c r="T71" i="1"/>
  <c r="S71" i="1"/>
  <c r="R71" i="1"/>
  <c r="Q71" i="1"/>
  <c r="P71" i="1"/>
  <c r="O71" i="1"/>
  <c r="N71" i="1"/>
  <c r="M71" i="1"/>
  <c r="W84" i="1"/>
  <c r="V84" i="1"/>
  <c r="U84" i="1"/>
  <c r="T84" i="1"/>
  <c r="S84" i="1"/>
  <c r="R84" i="1"/>
  <c r="Q84" i="1"/>
  <c r="P84" i="1"/>
  <c r="O84" i="1"/>
  <c r="N84" i="1"/>
  <c r="M84" i="1"/>
  <c r="X78" i="1"/>
  <c r="W78" i="1"/>
  <c r="V78" i="1"/>
  <c r="U78" i="1"/>
  <c r="T78" i="1"/>
  <c r="S78" i="1"/>
  <c r="P78" i="1"/>
  <c r="R78" i="1"/>
  <c r="Q78" i="1"/>
  <c r="O78" i="1"/>
  <c r="N78" i="1"/>
  <c r="M78" i="1"/>
  <c r="U65" i="1"/>
  <c r="T65" i="1"/>
  <c r="S65" i="1"/>
  <c r="R65" i="1"/>
  <c r="Q65" i="1"/>
  <c r="P65" i="1"/>
  <c r="O65" i="1"/>
  <c r="N65" i="1"/>
  <c r="M65" i="1"/>
  <c r="O59" i="1"/>
  <c r="O58" i="1"/>
  <c r="O57" i="1"/>
  <c r="O56" i="1"/>
  <c r="M58" i="1"/>
  <c r="P58" i="1" s="1"/>
  <c r="N59" i="1"/>
  <c r="L59" i="1"/>
  <c r="L58" i="1"/>
  <c r="N58" i="1"/>
  <c r="N57" i="1"/>
  <c r="L57" i="1"/>
  <c r="N56" i="1"/>
  <c r="L56" i="1"/>
  <c r="M22" i="1"/>
  <c r="M26" i="1"/>
  <c r="M25" i="1"/>
  <c r="M24" i="1"/>
  <c r="M23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M48" i="1"/>
  <c r="J49" i="1"/>
  <c r="J48" i="1"/>
  <c r="J47" i="1"/>
  <c r="J46" i="1"/>
  <c r="M44" i="1"/>
  <c r="J45" i="1"/>
  <c r="O43" i="1"/>
  <c r="N43" i="1"/>
  <c r="J44" i="1"/>
  <c r="O42" i="1"/>
  <c r="N42" i="1"/>
  <c r="J43" i="1"/>
  <c r="O41" i="1"/>
  <c r="N41" i="1"/>
  <c r="J42" i="1"/>
  <c r="J41" i="1"/>
  <c r="J40" i="1"/>
  <c r="J39" i="1"/>
  <c r="J38" i="1"/>
  <c r="J37" i="1"/>
  <c r="J36" i="1"/>
  <c r="N35" i="1"/>
  <c r="J35" i="1"/>
  <c r="O34" i="1"/>
  <c r="N34" i="1"/>
  <c r="J34" i="1"/>
  <c r="O33" i="1"/>
  <c r="N33" i="1"/>
  <c r="J33" i="1"/>
  <c r="O32" i="1"/>
  <c r="N32" i="1"/>
  <c r="J32" i="1"/>
  <c r="J31" i="1"/>
  <c r="J30" i="1"/>
  <c r="J29" i="1"/>
  <c r="J28" i="1"/>
  <c r="J27" i="1"/>
  <c r="Q26" i="1"/>
  <c r="P26" i="1"/>
  <c r="O26" i="1" a="1"/>
  <c r="O26" i="1" s="1"/>
  <c r="L26" i="1" a="1"/>
  <c r="L26" i="1" s="1"/>
  <c r="J26" i="1"/>
  <c r="Q25" i="1"/>
  <c r="P25" i="1"/>
  <c r="O25" i="1" a="1"/>
  <c r="O25" i="1" s="1"/>
  <c r="L25" i="1" a="1"/>
  <c r="L25" i="1" s="1"/>
  <c r="J25" i="1"/>
  <c r="Q24" i="1"/>
  <c r="P24" i="1"/>
  <c r="O24" i="1" a="1"/>
  <c r="O24" i="1" s="1"/>
  <c r="L24" i="1" a="1"/>
  <c r="L24" i="1"/>
  <c r="J24" i="1"/>
  <c r="Q23" i="1"/>
  <c r="P23" i="1"/>
  <c r="O23" i="1" a="1"/>
  <c r="O23" i="1" s="1"/>
  <c r="L23" i="1" a="1"/>
  <c r="L23" i="1" s="1"/>
  <c r="J23" i="1"/>
  <c r="Q22" i="1"/>
  <c r="P22" i="1"/>
  <c r="O22" i="1" a="1"/>
  <c r="O22" i="1" s="1"/>
  <c r="L22" i="1" a="1"/>
  <c r="L22" i="1" s="1"/>
  <c r="J22" i="1"/>
  <c r="Q21" i="1"/>
  <c r="P21" i="1"/>
  <c r="O21" i="1" a="1"/>
  <c r="O21" i="1" s="1"/>
  <c r="L21" i="1" a="1"/>
  <c r="L21" i="1" s="1"/>
  <c r="J21" i="1"/>
  <c r="Q20" i="1"/>
  <c r="P20" i="1"/>
  <c r="O20" i="1" a="1"/>
  <c r="O20" i="1" s="1"/>
  <c r="L20" i="1" a="1"/>
  <c r="L20" i="1" s="1"/>
  <c r="J20" i="1"/>
  <c r="Q19" i="1"/>
  <c r="P19" i="1"/>
  <c r="O19" i="1" a="1"/>
  <c r="O19" i="1" s="1"/>
  <c r="L19" i="1" a="1"/>
  <c r="L19" i="1" s="1"/>
  <c r="J19" i="1"/>
  <c r="Q18" i="1"/>
  <c r="P18" i="1"/>
  <c r="O18" i="1" a="1"/>
  <c r="O18" i="1" s="1"/>
  <c r="L18" i="1" a="1"/>
  <c r="L18" i="1"/>
  <c r="J18" i="1"/>
  <c r="Q17" i="1"/>
  <c r="P17" i="1"/>
  <c r="O17" i="1" a="1"/>
  <c r="O17" i="1" s="1"/>
  <c r="L17" i="1" a="1"/>
  <c r="L17" i="1" s="1"/>
  <c r="J17" i="1"/>
  <c r="Q16" i="1"/>
  <c r="P16" i="1"/>
  <c r="O16" i="1" a="1"/>
  <c r="O16" i="1" s="1"/>
  <c r="L16" i="1" a="1"/>
  <c r="L16" i="1" s="1"/>
  <c r="J16" i="1"/>
  <c r="Q15" i="1"/>
  <c r="P15" i="1"/>
  <c r="O15" i="1" a="1"/>
  <c r="O15" i="1" s="1"/>
  <c r="L15" i="1" a="1"/>
  <c r="L15" i="1" s="1"/>
  <c r="J15" i="1"/>
  <c r="Q14" i="1"/>
  <c r="P14" i="1"/>
  <c r="O14" i="1" a="1"/>
  <c r="O14" i="1" s="1"/>
  <c r="L14" i="1" a="1"/>
  <c r="L14" i="1"/>
  <c r="J14" i="1"/>
  <c r="Q13" i="1"/>
  <c r="P13" i="1"/>
  <c r="O13" i="1" a="1"/>
  <c r="O13" i="1"/>
  <c r="L13" i="1" a="1"/>
  <c r="L13" i="1" s="1"/>
  <c r="J13" i="1"/>
  <c r="Q12" i="1"/>
  <c r="P12" i="1"/>
  <c r="O12" i="1" a="1"/>
  <c r="O12" i="1" s="1"/>
  <c r="L12" i="1" a="1"/>
  <c r="L12" i="1"/>
  <c r="J12" i="1"/>
  <c r="Q11" i="1"/>
  <c r="P11" i="1"/>
  <c r="O11" i="1" a="1"/>
  <c r="O11" i="1" s="1"/>
  <c r="L11" i="1" a="1"/>
  <c r="L11" i="1" s="1"/>
  <c r="J11" i="1"/>
  <c r="Q10" i="1"/>
  <c r="P10" i="1"/>
  <c r="O10" i="1" a="1"/>
  <c r="O10" i="1" s="1"/>
  <c r="L10" i="1" a="1"/>
  <c r="L10" i="1" s="1"/>
  <c r="J10" i="1"/>
  <c r="Q9" i="1"/>
  <c r="P9" i="1"/>
  <c r="O9" i="1" a="1"/>
  <c r="O9" i="1"/>
  <c r="L9" i="1" a="1"/>
  <c r="L9" i="1"/>
  <c r="J9" i="1"/>
  <c r="Q8" i="1"/>
  <c r="P8" i="1"/>
  <c r="O8" i="1" a="1"/>
  <c r="O8" i="1"/>
  <c r="L8" i="1" a="1"/>
  <c r="L8" i="1"/>
  <c r="J8" i="1"/>
  <c r="Q7" i="1"/>
  <c r="P7" i="1"/>
  <c r="O7" i="1" a="1"/>
  <c r="O7" i="1" s="1"/>
  <c r="L7" i="1" a="1"/>
  <c r="L7" i="1" s="1"/>
  <c r="J7" i="1"/>
  <c r="Q6" i="1"/>
  <c r="P6" i="1"/>
  <c r="O6" i="1" a="1"/>
  <c r="O6" i="1"/>
  <c r="L6" i="1" a="1"/>
  <c r="L6" i="1"/>
  <c r="J6" i="1"/>
  <c r="Q5" i="1"/>
  <c r="P5" i="1"/>
  <c r="O5" i="1" a="1"/>
  <c r="O5" i="1" s="1"/>
  <c r="L5" i="1" a="1"/>
  <c r="L5" i="1" s="1"/>
  <c r="J5" i="1"/>
  <c r="Q4" i="1"/>
  <c r="P4" i="1"/>
  <c r="O4" i="1" a="1"/>
  <c r="O4" i="1" s="1"/>
  <c r="L4" i="1" a="1"/>
  <c r="L4" i="1" s="1"/>
  <c r="J4" i="1"/>
  <c r="Q3" i="1"/>
  <c r="P3" i="1"/>
  <c r="O3" i="1" a="1"/>
  <c r="O3" i="1" s="1"/>
  <c r="L3" i="1" a="1"/>
  <c r="L3" i="1" s="1"/>
  <c r="J3" i="1"/>
  <c r="T15" i="1" a="1"/>
  <c r="T3" i="1" a="1"/>
  <c r="T4" i="1" a="1"/>
  <c r="T5" i="1" a="1"/>
  <c r="T13" i="1" a="1"/>
  <c r="T10" i="1" a="1"/>
  <c r="T14" i="1" a="1"/>
  <c r="T6" i="1" a="1"/>
  <c r="T9" i="1" a="1"/>
  <c r="G11" i="2" l="1"/>
  <c r="G8" i="2"/>
  <c r="T3" i="1"/>
  <c r="T15" i="1"/>
  <c r="T6" i="1"/>
  <c r="T10" i="1"/>
  <c r="T14" i="1"/>
  <c r="T5" i="1"/>
  <c r="T9" i="1"/>
  <c r="T13" i="1"/>
  <c r="T4" i="1"/>
</calcChain>
</file>

<file path=xl/sharedStrings.xml><?xml version="1.0" encoding="utf-8"?>
<sst xmlns="http://schemas.openxmlformats.org/spreadsheetml/2006/main" count="351" uniqueCount="205">
  <si>
    <t>Instance</t>
  </si>
  <si>
    <t>Uncapacitated Objective</t>
  </si>
  <si>
    <t>Time
(s)</t>
  </si>
  <si>
    <t>Iterations</t>
  </si>
  <si>
    <t>Capacitated Objective</t>
  </si>
  <si>
    <t>Extra Time
(s)</t>
  </si>
  <si>
    <t>Feasible Routes</t>
  </si>
  <si>
    <t>Infeasible Routes</t>
  </si>
  <si>
    <t>Total</t>
  </si>
  <si>
    <t>Avg Time</t>
  </si>
  <si>
    <t>Avg Number of Valid Routes</t>
  </si>
  <si>
    <t>Avg Number of Infeasible Routes</t>
  </si>
  <si>
    <t>Nodes</t>
  </si>
  <si>
    <t>Median Routes Checked</t>
  </si>
  <si>
    <t>l_4_25_1</t>
  </si>
  <si>
    <t>l_4_25_2</t>
  </si>
  <si>
    <t>l_4_25_3</t>
  </si>
  <si>
    <t>l_4_25_4</t>
  </si>
  <si>
    <t>l_4_25_5</t>
  </si>
  <si>
    <t>l_4_35_1</t>
  </si>
  <si>
    <t>Req Len</t>
  </si>
  <si>
    <t>l_4_35_2</t>
  </si>
  <si>
    <t>l_4_35_3</t>
  </si>
  <si>
    <t>l_4_35_4</t>
  </si>
  <si>
    <t>l_4_35_5</t>
  </si>
  <si>
    <t>Size</t>
  </si>
  <si>
    <t>l_4_50_1</t>
  </si>
  <si>
    <t>n</t>
  </si>
  <si>
    <t>l_4_50_2</t>
  </si>
  <si>
    <t>l</t>
  </si>
  <si>
    <t>l_4_50_3</t>
  </si>
  <si>
    <t>w</t>
  </si>
  <si>
    <t>l_4_50_4</t>
  </si>
  <si>
    <t>l_4_50_5</t>
  </si>
  <si>
    <t>l_4_100_1</t>
  </si>
  <si>
    <t>l_4_100_2</t>
  </si>
  <si>
    <t>l_4_100_3</t>
  </si>
  <si>
    <t>l_4_100_4</t>
  </si>
  <si>
    <t>l_4_100_5</t>
  </si>
  <si>
    <t>l_8_25_1</t>
  </si>
  <si>
    <t>l_8_25_2</t>
  </si>
  <si>
    <t>l_8_25_3</t>
  </si>
  <si>
    <t>l_8_25_4</t>
  </si>
  <si>
    <t>l_8_25_5</t>
  </si>
  <si>
    <t>l_8_35_1</t>
  </si>
  <si>
    <t>l_8_35_2</t>
  </si>
  <si>
    <t>l_8_35_3</t>
  </si>
  <si>
    <t>l_8_35_4</t>
  </si>
  <si>
    <t>Instance type</t>
  </si>
  <si>
    <t>Avg Extra Time</t>
  </si>
  <si>
    <t>l_8_35_5</t>
  </si>
  <si>
    <t>l_4_100</t>
  </si>
  <si>
    <t>l_8_50_1</t>
  </si>
  <si>
    <t>l_8_50</t>
  </si>
  <si>
    <t>l_8_50_2</t>
  </si>
  <si>
    <t>l_8_100</t>
  </si>
  <si>
    <t>l_8_50_3</t>
  </si>
  <si>
    <t>n_8_35</t>
  </si>
  <si>
    <t>l_8_50_4</t>
  </si>
  <si>
    <t>n_8_50</t>
  </si>
  <si>
    <t>l_8_50_5</t>
  </si>
  <si>
    <t>n_8_100</t>
  </si>
  <si>
    <t>l_8_100_1</t>
  </si>
  <si>
    <t>w_4_35</t>
  </si>
  <si>
    <t>l_8_100_2</t>
  </si>
  <si>
    <t>w_4_50</t>
  </si>
  <si>
    <t>l_8_100_3</t>
  </si>
  <si>
    <t>l_8_100_4</t>
  </si>
  <si>
    <t>w_8_25</t>
  </si>
  <si>
    <t>l_8_100_5</t>
  </si>
  <si>
    <t>w_8_35</t>
  </si>
  <si>
    <t>n_4_25_1</t>
  </si>
  <si>
    <t>w_8_50</t>
  </si>
  <si>
    <t>n_4_25_2</t>
  </si>
  <si>
    <t>w_8_100</t>
  </si>
  <si>
    <t>n_4_25_3</t>
  </si>
  <si>
    <t>Total/Avg</t>
  </si>
  <si>
    <t>n_4_25_4</t>
  </si>
  <si>
    <t>l_8_200</t>
  </si>
  <si>
    <t>n_4_25_5</t>
  </si>
  <si>
    <t>n_4_200</t>
  </si>
  <si>
    <t>n_4_35_1</t>
  </si>
  <si>
    <t>n_8_200</t>
  </si>
  <si>
    <t>n_4_35_2</t>
  </si>
  <si>
    <t>n_4_35_3</t>
  </si>
  <si>
    <t>n_4_35_4</t>
  </si>
  <si>
    <t>n_4_35_5</t>
  </si>
  <si>
    <t>n_4_50_1</t>
  </si>
  <si>
    <t>n_4_50_2</t>
  </si>
  <si>
    <t>n_4_50_3</t>
  </si>
  <si>
    <t>n_4_50_4</t>
  </si>
  <si>
    <t>n_4_50_5</t>
  </si>
  <si>
    <t>n_4_100_1</t>
  </si>
  <si>
    <t>n_4_100_2</t>
  </si>
  <si>
    <t>n_4_100_3</t>
  </si>
  <si>
    <t>n_4_100_4</t>
  </si>
  <si>
    <t>n_4_100_5</t>
  </si>
  <si>
    <t>n_8_25_1</t>
  </si>
  <si>
    <t>n_8_25_2</t>
  </si>
  <si>
    <t>n_8_25_3</t>
  </si>
  <si>
    <t>n_8_25_4</t>
  </si>
  <si>
    <t>n_8_25_5</t>
  </si>
  <si>
    <t>n_8_35_1</t>
  </si>
  <si>
    <t>n_8_35_2</t>
  </si>
  <si>
    <t>n_8_35_3</t>
  </si>
  <si>
    <t>n_8_35_4</t>
  </si>
  <si>
    <t>n_8_35_5</t>
  </si>
  <si>
    <t>n_8_50_1</t>
  </si>
  <si>
    <t>n_8_50_2</t>
  </si>
  <si>
    <t>n_8_50_3</t>
  </si>
  <si>
    <t>n_8_50_4</t>
  </si>
  <si>
    <t>n_8_50_5</t>
  </si>
  <si>
    <t>n_8_100_1</t>
  </si>
  <si>
    <t>n_8_100_2</t>
  </si>
  <si>
    <t>n_8_100_3</t>
  </si>
  <si>
    <t>n_8_100_4</t>
  </si>
  <si>
    <t>n_8_100_5</t>
  </si>
  <si>
    <t>w_4_25_1</t>
  </si>
  <si>
    <t>w_4_25_2</t>
  </si>
  <si>
    <t>w_4_25_3</t>
  </si>
  <si>
    <t>w_4_25_4</t>
  </si>
  <si>
    <t>w_4_25_5</t>
  </si>
  <si>
    <t>w_4_35_1</t>
  </si>
  <si>
    <t>w_4_35_2</t>
  </si>
  <si>
    <t>w_4_35_3</t>
  </si>
  <si>
    <t>w_4_35_4</t>
  </si>
  <si>
    <t>w_4_35_5</t>
  </si>
  <si>
    <t>w_4_50_1</t>
  </si>
  <si>
    <t>w_4_50_2</t>
  </si>
  <si>
    <t>w_4_50_3</t>
  </si>
  <si>
    <t>w_4_50_4</t>
  </si>
  <si>
    <t>w_4_50_5</t>
  </si>
  <si>
    <t>w_4_100_1</t>
  </si>
  <si>
    <t>w_4_100_2</t>
  </si>
  <si>
    <t>w_4_100_3</t>
  </si>
  <si>
    <t>w_4_100_4</t>
  </si>
  <si>
    <t>w_4_100_5</t>
  </si>
  <si>
    <t>~</t>
  </si>
  <si>
    <t>w_8_25_1</t>
  </si>
  <si>
    <t>w_8_25_2</t>
  </si>
  <si>
    <t>w_8_25_3</t>
  </si>
  <si>
    <t>w_8_25_4</t>
  </si>
  <si>
    <t>w_8_25_5</t>
  </si>
  <si>
    <t>w_8_35_1</t>
  </si>
  <si>
    <t>w_8_35_2</t>
  </si>
  <si>
    <t>w_8_35_3</t>
  </si>
  <si>
    <t>w_8_35_4</t>
  </si>
  <si>
    <t>w_8_35_5</t>
  </si>
  <si>
    <t>w_8_50_1</t>
  </si>
  <si>
    <t>w_8_50_2</t>
  </si>
  <si>
    <t>w_8_50_3</t>
  </si>
  <si>
    <t>w_8_50_4</t>
  </si>
  <si>
    <t>w_8_50_5</t>
  </si>
  <si>
    <t>w_8_100_1</t>
  </si>
  <si>
    <t>w_8_100_2</t>
  </si>
  <si>
    <t>w_8_100_3</t>
  </si>
  <si>
    <t>w_8_100_4</t>
  </si>
  <si>
    <t>w_8_100_5</t>
  </si>
  <si>
    <t>l_4_200_1</t>
  </si>
  <si>
    <t>l_4_200_2</t>
  </si>
  <si>
    <t>l_4_200_3</t>
  </si>
  <si>
    <t>l_4_200_4</t>
  </si>
  <si>
    <t>l_4_200_5</t>
  </si>
  <si>
    <t>l_8_200_1</t>
  </si>
  <si>
    <t>l_8_200_2</t>
  </si>
  <si>
    <t>l_8_200_3</t>
  </si>
  <si>
    <t>l_8_200_4</t>
  </si>
  <si>
    <t>l_8_200_5</t>
  </si>
  <si>
    <t>n_4_200_1</t>
  </si>
  <si>
    <t>n_4_200_2</t>
  </si>
  <si>
    <t>n_4_200_3</t>
  </si>
  <si>
    <t>n_4_200_4</t>
  </si>
  <si>
    <t>n_4_200_5</t>
  </si>
  <si>
    <t>n_8_200_1</t>
  </si>
  <si>
    <t>n_8_200_2</t>
  </si>
  <si>
    <t>n_8_200_3</t>
  </si>
  <si>
    <t>n_8_200_4</t>
  </si>
  <si>
    <t>n_8_200_5</t>
  </si>
  <si>
    <t>w_4_200_1</t>
  </si>
  <si>
    <t>w_4_200_2</t>
  </si>
  <si>
    <t>w_4_200_3</t>
  </si>
  <si>
    <t>w_4_200_4</t>
  </si>
  <si>
    <t>w_4_200_5</t>
  </si>
  <si>
    <t>w_8_200_1</t>
  </si>
  <si>
    <t>w_8_200_2</t>
  </si>
  <si>
    <t>w_8_200_3</t>
  </si>
  <si>
    <t>w_8_200_4</t>
  </si>
  <si>
    <t>w_8_200_5</t>
  </si>
  <si>
    <t xml:space="preserve">Time </t>
  </si>
  <si>
    <t>Extra Time</t>
  </si>
  <si>
    <t>Hours</t>
  </si>
  <si>
    <t>Avg Iters</t>
  </si>
  <si>
    <t>Gap</t>
  </si>
  <si>
    <t>Subset time</t>
  </si>
  <si>
    <t>Cumulative</t>
  </si>
  <si>
    <t># Corrected</t>
  </si>
  <si>
    <t>Subset Size</t>
  </si>
  <si>
    <t>Without</t>
  </si>
  <si>
    <t>With</t>
  </si>
  <si>
    <t>Routes Checked</t>
  </si>
  <si>
    <t>Diff</t>
  </si>
  <si>
    <t>Subproblem including Capacity Avg. Time (s)</t>
  </si>
  <si>
    <t>Total avg. time with post capacity correction (s)</t>
  </si>
  <si>
    <t>n_4_100</t>
  </si>
  <si>
    <t>Avg Subproblems 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</si>
</sst>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0" fontId="0" fillId="0" borderId="3" xfId="0" applyBorder="1"/>
    <xf numFmtId="0" fontId="0" fillId="2" borderId="3" xfId="0" applyFill="1" applyBorder="1"/>
    <xf numFmtId="0" fontId="0" fillId="0" borderId="2" xfId="0" applyBorder="1"/>
    <xf numFmtId="0" fontId="0" fillId="2" borderId="2" xfId="0" applyFill="1" applyBorder="1"/>
    <xf numFmtId="0" fontId="1" fillId="0" borderId="4" xfId="0" applyFont="1" applyBorder="1" applyAlignment="1">
      <alignment horizontal="center" vertical="top"/>
    </xf>
    <xf numFmtId="0" fontId="0" fillId="0" borderId="6" xfId="0" applyBorder="1"/>
    <xf numFmtId="0" fontId="0" fillId="0" borderId="5" xfId="0" applyBorder="1"/>
    <xf numFmtId="0" fontId="2" fillId="0" borderId="5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/>
    </xf>
    <xf numFmtId="164" fontId="3" fillId="2" borderId="7" xfId="0" applyNumberFormat="1" applyFont="1" applyFill="1" applyBorder="1" applyAlignment="1">
      <alignment horizontal="center" vertical="top"/>
    </xf>
    <xf numFmtId="0" fontId="0" fillId="0" borderId="7" xfId="0" applyBorder="1"/>
    <xf numFmtId="0" fontId="2" fillId="0" borderId="7" xfId="0" applyFont="1" applyBorder="1" applyAlignment="1">
      <alignment horizontal="center" vertical="top"/>
    </xf>
    <xf numFmtId="0" fontId="0" fillId="0" borderId="4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2"/>
  <sheetViews>
    <sheetView tabSelected="1" topLeftCell="J1" zoomScale="85" zoomScaleNormal="85" workbookViewId="0">
      <selection activeCell="V65" sqref="V65"/>
    </sheetView>
  </sheetViews>
  <sheetFormatPr defaultRowHeight="14.25" x14ac:dyDescent="0.45"/>
  <cols>
    <col min="2" max="2" width="14.73046875" customWidth="1"/>
    <col min="3" max="3" width="23.86328125" customWidth="1"/>
    <col min="4" max="4" width="17" customWidth="1"/>
    <col min="5" max="5" width="36.59765625" customWidth="1"/>
    <col min="6" max="6" width="26.86328125" customWidth="1"/>
    <col min="7" max="7" width="26.59765625" customWidth="1"/>
    <col min="8" max="8" width="32.73046875" customWidth="1"/>
    <col min="9" max="10" width="36.59765625" customWidth="1"/>
    <col min="11" max="11" width="25.1328125" customWidth="1"/>
    <col min="12" max="12" width="27" customWidth="1"/>
    <col min="13" max="13" width="18.86328125" customWidth="1"/>
    <col min="14" max="14" width="26.1328125" customWidth="1"/>
    <col min="15" max="15" width="28.1328125" customWidth="1"/>
    <col min="16" max="16" width="28" customWidth="1"/>
    <col min="17" max="17" width="32.86328125" customWidth="1"/>
    <col min="18" max="18" width="27.73046875" customWidth="1"/>
    <col min="19" max="19" width="23.3984375" customWidth="1"/>
    <col min="20" max="20" width="31" customWidth="1"/>
    <col min="21" max="21" width="28.59765625" customWidth="1"/>
    <col min="23" max="23" width="23.3984375" customWidth="1"/>
    <col min="24" max="24" width="25.3984375" customWidth="1"/>
    <col min="25" max="25" width="30" customWidth="1"/>
  </cols>
  <sheetData>
    <row r="1" spans="1:22" x14ac:dyDescent="0.45">
      <c r="A1" s="1"/>
      <c r="B1" s="8"/>
      <c r="C1" s="8"/>
      <c r="D1" s="8"/>
      <c r="E1" s="8"/>
      <c r="F1" s="8"/>
      <c r="G1" s="8"/>
    </row>
    <row r="2" spans="1:22" x14ac:dyDescent="0.45">
      <c r="B2" s="12" t="s">
        <v>0</v>
      </c>
      <c r="C2" s="16" t="s">
        <v>1</v>
      </c>
      <c r="D2" s="13" t="s">
        <v>2</v>
      </c>
      <c r="E2" s="12" t="s">
        <v>3</v>
      </c>
      <c r="F2" s="13" t="s">
        <v>4</v>
      </c>
      <c r="G2" s="12" t="s">
        <v>5</v>
      </c>
      <c r="H2" s="14" t="s">
        <v>6</v>
      </c>
      <c r="I2" s="12" t="s">
        <v>7</v>
      </c>
      <c r="J2" s="11" t="s">
        <v>8</v>
      </c>
      <c r="L2" s="3" t="s">
        <v>0</v>
      </c>
      <c r="M2" s="3" t="s">
        <v>9</v>
      </c>
      <c r="O2" s="3" t="s">
        <v>0</v>
      </c>
      <c r="P2" s="3" t="s">
        <v>10</v>
      </c>
      <c r="Q2" s="3" t="s">
        <v>11</v>
      </c>
      <c r="S2" s="10" t="s">
        <v>12</v>
      </c>
      <c r="T2" s="10" t="s">
        <v>13</v>
      </c>
      <c r="V2" s="9"/>
    </row>
    <row r="3" spans="1:22" x14ac:dyDescent="0.45">
      <c r="B3" s="3" t="s">
        <v>14</v>
      </c>
      <c r="C3" s="3">
        <v>4585.8500000000004</v>
      </c>
      <c r="D3" s="2">
        <v>0.28999999999999998</v>
      </c>
      <c r="E3" s="3">
        <v>0</v>
      </c>
      <c r="F3" s="2">
        <v>4585.8500000000004</v>
      </c>
      <c r="G3" s="3">
        <v>0</v>
      </c>
      <c r="H3" s="2">
        <v>41</v>
      </c>
      <c r="I3" s="10">
        <v>28</v>
      </c>
      <c r="J3" s="10">
        <f t="shared" ref="J3:J34" si="0">H3+I3</f>
        <v>69</v>
      </c>
      <c r="L3" s="3" t="str">
        <f t="array" ref="L3">LEFT(INDEX($B:$B, ROW($B$3) + (ROW()-ROW($G$3))*5), LEN(INDEX($B:$B, ROW($B$3) + (ROW()-ROW($G$3))*5))-2)</f>
        <v>l_4_25</v>
      </c>
      <c r="M3" s="3">
        <f ca="1">ROUND(AVERAGE(OFFSET($D$3,(ROW()-ROW($O$3))*5,0,5,1)),1)</f>
        <v>0.9</v>
      </c>
      <c r="O3" s="3" t="str">
        <f t="array" ref="O3">LEFT(INDEX($B:$B, ROW($B$3) + (ROW()-ROW($G$3))*5), LEN(INDEX($B:$B, ROW($B$3) + (ROW()-ROW($G$3))*5))-2)</f>
        <v>l_4_25</v>
      </c>
      <c r="P3" s="3">
        <f t="shared" ref="P3:P26" ca="1" si="1">AVERAGE(OFFSET($H$3,(ROW()-ROW($O$3))*5,0,5,1))</f>
        <v>75.599999999999994</v>
      </c>
      <c r="Q3" s="3">
        <f t="shared" ref="Q3:Q26" ca="1" si="2">ROUND(AVERAGE(OFFSET($I$3,(ROW()-ROW($O$3))*5,0,5,1)),2)</f>
        <v>30.6</v>
      </c>
      <c r="S3" s="10">
        <v>25</v>
      </c>
      <c r="T3" s="10">
        <f t="array" aca="1" ref="T3" ca="1">MEDIAN(_xlfn._xlws.FILTER($J$1:$J$122,ISNUMBER(SEARCH(INDIRECT("RC[-1]",0),$B$1:$B$122))))</f>
        <v>52</v>
      </c>
    </row>
    <row r="4" spans="1:22" x14ac:dyDescent="0.45">
      <c r="B4" s="3" t="s">
        <v>15</v>
      </c>
      <c r="C4" s="3">
        <v>4017.93</v>
      </c>
      <c r="D4" s="2">
        <v>1.41</v>
      </c>
      <c r="E4" s="3">
        <v>0</v>
      </c>
      <c r="F4" s="2">
        <v>4017.93</v>
      </c>
      <c r="G4" s="3">
        <v>0</v>
      </c>
      <c r="H4" s="2">
        <v>119</v>
      </c>
      <c r="I4" s="10">
        <v>31</v>
      </c>
      <c r="J4" s="10">
        <f t="shared" si="0"/>
        <v>150</v>
      </c>
      <c r="L4" s="3" t="str">
        <f t="array" ref="L4">LEFT(INDEX($B:$B, ROW($B$3) + (ROW()-ROW($G$3))*5), LEN(INDEX($B:$B, ROW($B$3) + (ROW()-ROW($G$3))*5))-2)</f>
        <v>l_4_35</v>
      </c>
      <c r="M4" s="3">
        <f t="shared" ref="M4:M21" ca="1" si="3">ROUND(AVERAGE(OFFSET($D$3,(ROW()-ROW($O$3))*5,0,5,1)),1)</f>
        <v>2.6</v>
      </c>
      <c r="O4" s="3" t="str">
        <f t="array" ref="O4">LEFT(INDEX($B:$B, ROW($B$3) + (ROW()-ROW($G$3))*5), LEN(INDEX($B:$B, ROW($B$3) + (ROW()-ROW($G$3))*5))-2)</f>
        <v>l_4_35</v>
      </c>
      <c r="P4" s="3">
        <f t="shared" ca="1" si="1"/>
        <v>204.8</v>
      </c>
      <c r="Q4" s="3">
        <f t="shared" ca="1" si="2"/>
        <v>108.4</v>
      </c>
      <c r="S4" s="10">
        <v>35</v>
      </c>
      <c r="T4" s="10">
        <f t="array" aca="1" ref="T4" ca="1">MEDIAN(_xlfn._xlws.FILTER($J$1:$J$122,ISNUMBER(SEARCH(INDIRECT("RC[-1]",0),$B$1:$B$122))))</f>
        <v>92.5</v>
      </c>
    </row>
    <row r="5" spans="1:22" x14ac:dyDescent="0.45">
      <c r="B5" s="3" t="s">
        <v>16</v>
      </c>
      <c r="C5" s="3">
        <v>4713.75</v>
      </c>
      <c r="D5" s="2">
        <v>0.66</v>
      </c>
      <c r="E5" s="3">
        <v>0</v>
      </c>
      <c r="F5" s="2">
        <v>4713.75</v>
      </c>
      <c r="G5" s="3">
        <v>0</v>
      </c>
      <c r="H5" s="2">
        <v>43</v>
      </c>
      <c r="I5" s="10">
        <v>22</v>
      </c>
      <c r="J5" s="10">
        <f t="shared" si="0"/>
        <v>65</v>
      </c>
      <c r="L5" s="3" t="str">
        <f t="array" ref="L5">LEFT(INDEX($B:$B, ROW($B$3) + (ROW()-ROW($G$3))*5), LEN(INDEX($B:$B, ROW($B$3) + (ROW()-ROW($G$3))*5))-2)</f>
        <v>l_4_50</v>
      </c>
      <c r="M5" s="3">
        <f t="shared" ca="1" si="3"/>
        <v>7.8</v>
      </c>
      <c r="O5" s="3" t="str">
        <f t="array" ref="O5">LEFT(INDEX($B:$B, ROW($B$3) + (ROW()-ROW($G$3))*5), LEN(INDEX($B:$B, ROW($B$3) + (ROW()-ROW($G$3))*5))-2)</f>
        <v>l_4_50</v>
      </c>
      <c r="P5" s="3">
        <f t="shared" ca="1" si="1"/>
        <v>565.20000000000005</v>
      </c>
      <c r="Q5" s="3">
        <f t="shared" ca="1" si="2"/>
        <v>341</v>
      </c>
      <c r="S5" s="10">
        <v>50</v>
      </c>
      <c r="T5" s="10">
        <f t="array" aca="1" ref="T5" ca="1">MEDIAN(_xlfn._xlws.FILTER($J$1:$J$122,ISNUMBER(SEARCH(INDIRECT("RC[-1]",0),$B$1:$B$122))))</f>
        <v>305.5</v>
      </c>
    </row>
    <row r="6" spans="1:22" x14ac:dyDescent="0.45">
      <c r="B6" s="3" t="s">
        <v>17</v>
      </c>
      <c r="C6" s="3">
        <v>3872.6</v>
      </c>
      <c r="D6" s="2">
        <v>0.57999999999999996</v>
      </c>
      <c r="E6" s="3">
        <v>0</v>
      </c>
      <c r="F6" s="2">
        <v>3872.6</v>
      </c>
      <c r="G6" s="3">
        <v>0</v>
      </c>
      <c r="H6" s="2">
        <v>77</v>
      </c>
      <c r="I6" s="10">
        <v>36</v>
      </c>
      <c r="J6" s="10">
        <f t="shared" si="0"/>
        <v>113</v>
      </c>
      <c r="L6" s="3" t="str">
        <f t="array" ref="L6">LEFT(INDEX($B:$B, ROW($B$3) + (ROW()-ROW($G$3))*5), LEN(INDEX($B:$B, ROW($B$3) + (ROW()-ROW($G$3))*5))-2)</f>
        <v>l_4_100</v>
      </c>
      <c r="M6" s="3">
        <f t="shared" ca="1" si="3"/>
        <v>264.10000000000002</v>
      </c>
      <c r="O6" s="3" t="str">
        <f t="array" ref="O6">LEFT(INDEX($B:$B, ROW($B$3) + (ROW()-ROW($G$3))*5), LEN(INDEX($B:$B, ROW($B$3) + (ROW()-ROW($G$3))*5))-2)</f>
        <v>l_4_100</v>
      </c>
      <c r="P6" s="3">
        <f t="shared" ca="1" si="1"/>
        <v>12148.8</v>
      </c>
      <c r="Q6" s="3">
        <f t="shared" ca="1" si="2"/>
        <v>6317</v>
      </c>
      <c r="S6" s="10">
        <v>100</v>
      </c>
      <c r="T6" s="10">
        <f t="array" aca="1" ref="T6" ca="1">MEDIAN(_xlfn._xlws.FILTER($J$1:$J$122,ISNUMBER(SEARCH(INDIRECT("RC[-1]",0),$B$1:$B$122))))</f>
        <v>3413.5</v>
      </c>
    </row>
    <row r="7" spans="1:22" x14ac:dyDescent="0.45">
      <c r="B7" s="3" t="s">
        <v>18</v>
      </c>
      <c r="C7" s="3">
        <v>3397.66</v>
      </c>
      <c r="D7" s="2">
        <v>1.65</v>
      </c>
      <c r="E7" s="3">
        <v>0</v>
      </c>
      <c r="F7" s="2">
        <v>3397.66</v>
      </c>
      <c r="G7" s="3">
        <v>0</v>
      </c>
      <c r="H7" s="2">
        <v>98</v>
      </c>
      <c r="I7" s="10">
        <v>36</v>
      </c>
      <c r="J7" s="10">
        <f t="shared" si="0"/>
        <v>134</v>
      </c>
      <c r="L7" s="3" t="str">
        <f t="array" ref="L7">LEFT(INDEX($B:$B, ROW($B$3) + (ROW()-ROW($G$3))*5), LEN(INDEX($B:$B, ROW($B$3) + (ROW()-ROW($G$3))*5))-2)</f>
        <v>l_8_25</v>
      </c>
      <c r="M7" s="3">
        <f t="shared" ca="1" si="3"/>
        <v>0.4</v>
      </c>
      <c r="O7" s="3" t="str">
        <f t="array" ref="O7">LEFT(INDEX($B:$B, ROW($B$3) + (ROW()-ROW($G$3))*5), LEN(INDEX($B:$B, ROW($B$3) + (ROW()-ROW($G$3))*5))-2)</f>
        <v>l_8_25</v>
      </c>
      <c r="P7" s="3">
        <f t="shared" ca="1" si="1"/>
        <v>19</v>
      </c>
      <c r="Q7" s="3">
        <f t="shared" ca="1" si="2"/>
        <v>8.8000000000000007</v>
      </c>
    </row>
    <row r="8" spans="1:22" x14ac:dyDescent="0.45">
      <c r="B8" s="3" t="s">
        <v>19</v>
      </c>
      <c r="C8" s="3">
        <v>5791.61</v>
      </c>
      <c r="D8" s="2">
        <v>2.02</v>
      </c>
      <c r="E8" s="3">
        <v>0</v>
      </c>
      <c r="F8" s="2">
        <v>5791.61</v>
      </c>
      <c r="G8" s="3">
        <v>0</v>
      </c>
      <c r="H8" s="2">
        <v>156</v>
      </c>
      <c r="I8" s="10">
        <v>98</v>
      </c>
      <c r="J8" s="10">
        <f t="shared" si="0"/>
        <v>254</v>
      </c>
      <c r="L8" s="3" t="str">
        <f t="array" ref="L8">LEFT(INDEX($B:$B, ROW($B$3) + (ROW()-ROW($G$3))*5), LEN(INDEX($B:$B, ROW($B$3) + (ROW()-ROW($G$3))*5))-2)</f>
        <v>l_8_35</v>
      </c>
      <c r="M8" s="3">
        <f t="shared" ca="1" si="3"/>
        <v>0.6</v>
      </c>
      <c r="O8" s="3" t="str">
        <f t="array" ref="O8">LEFT(INDEX($B:$B, ROW($B$3) + (ROW()-ROW($G$3))*5), LEN(INDEX($B:$B, ROW($B$3) + (ROW()-ROW($G$3))*5))-2)</f>
        <v>l_8_35</v>
      </c>
      <c r="P8" s="3">
        <f t="shared" ca="1" si="1"/>
        <v>20.8</v>
      </c>
      <c r="Q8" s="3">
        <f t="shared" ca="1" si="2"/>
        <v>15.8</v>
      </c>
      <c r="S8" s="3" t="s">
        <v>20</v>
      </c>
      <c r="T8" s="10" t="s">
        <v>13</v>
      </c>
    </row>
    <row r="9" spans="1:22" x14ac:dyDescent="0.45">
      <c r="B9" s="3" t="s">
        <v>21</v>
      </c>
      <c r="C9" s="3">
        <v>5470.93</v>
      </c>
      <c r="D9" s="2">
        <v>1.1399999999999999</v>
      </c>
      <c r="E9" s="3">
        <v>0</v>
      </c>
      <c r="F9" s="2">
        <v>5470.93</v>
      </c>
      <c r="G9" s="3">
        <v>0</v>
      </c>
      <c r="H9" s="2">
        <v>83</v>
      </c>
      <c r="I9" s="10">
        <v>57</v>
      </c>
      <c r="J9" s="10">
        <f t="shared" si="0"/>
        <v>140</v>
      </c>
      <c r="L9" s="3" t="str">
        <f t="array" ref="L9">LEFT(INDEX($B:$B, ROW($B$3) + (ROW()-ROW($G$3))*5), LEN(INDEX($B:$B, ROW($B$3) + (ROW()-ROW($G$3))*5))-2)</f>
        <v>l_8_50</v>
      </c>
      <c r="M9" s="3">
        <f t="shared" ca="1" si="3"/>
        <v>1.8</v>
      </c>
      <c r="O9" s="3" t="str">
        <f t="array" ref="O9">LEFT(INDEX($B:$B, ROW($B$3) + (ROW()-ROW($G$3))*5), LEN(INDEX($B:$B, ROW($B$3) + (ROW()-ROW($G$3))*5))-2)</f>
        <v>l_8_50</v>
      </c>
      <c r="P9" s="3">
        <f t="shared" ca="1" si="1"/>
        <v>59.6</v>
      </c>
      <c r="Q9" s="3">
        <f t="shared" ca="1" si="2"/>
        <v>49.2</v>
      </c>
      <c r="S9" s="3">
        <v>4</v>
      </c>
      <c r="T9" s="10">
        <f t="array" aca="1" ref="T9" ca="1">MEDIAN(_xlfn._xlws.FILTER($J$1:$J$122,ISNUMBER(SEARCH(INDIRECT("RC[-1]",0),$B$1:$B$122))))</f>
        <v>378.5</v>
      </c>
    </row>
    <row r="10" spans="1:22" x14ac:dyDescent="0.45">
      <c r="B10" s="3" t="s">
        <v>22</v>
      </c>
      <c r="C10" s="3">
        <v>5387.35</v>
      </c>
      <c r="D10" s="2">
        <v>3.19</v>
      </c>
      <c r="E10" s="3">
        <v>0</v>
      </c>
      <c r="F10" s="2">
        <v>5387.35</v>
      </c>
      <c r="G10" s="3">
        <v>0</v>
      </c>
      <c r="H10" s="2">
        <v>227</v>
      </c>
      <c r="I10" s="10">
        <v>163</v>
      </c>
      <c r="J10" s="10">
        <f t="shared" si="0"/>
        <v>390</v>
      </c>
      <c r="L10" s="3" t="str">
        <f t="array" ref="L10">LEFT(INDEX($B:$B, ROW($B$3) + (ROW()-ROW($G$3))*5), LEN(INDEX($B:$B, ROW($B$3) + (ROW()-ROW($G$3))*5))-2)</f>
        <v>l_8_100</v>
      </c>
      <c r="M10" s="3">
        <f t="shared" ca="1" si="3"/>
        <v>10.8</v>
      </c>
      <c r="O10" s="3" t="str">
        <f t="array" ref="O10">LEFT(INDEX($B:$B, ROW($B$3) + (ROW()-ROW($G$3))*5), LEN(INDEX($B:$B, ROW($B$3) + (ROW()-ROW($G$3))*5))-2)</f>
        <v>l_8_100</v>
      </c>
      <c r="P10" s="3">
        <f t="shared" ca="1" si="1"/>
        <v>293</v>
      </c>
      <c r="Q10" s="3">
        <f t="shared" ca="1" si="2"/>
        <v>328.8</v>
      </c>
      <c r="S10" s="3">
        <v>8</v>
      </c>
      <c r="T10" s="10">
        <f t="array" aca="1" ref="T10" ca="1">MEDIAN(_xlfn._xlws.FILTER($J$1:$J$122,ISNUMBER(SEARCH(INDIRECT("RC[-1]",0),$B$1:$B$122))))</f>
        <v>65.5</v>
      </c>
    </row>
    <row r="11" spans="1:22" x14ac:dyDescent="0.45">
      <c r="B11" s="3" t="s">
        <v>23</v>
      </c>
      <c r="C11" s="3">
        <v>6257.5</v>
      </c>
      <c r="D11" s="2">
        <v>2.4700000000000002</v>
      </c>
      <c r="E11" s="3">
        <v>0</v>
      </c>
      <c r="F11" s="2">
        <v>6257.5</v>
      </c>
      <c r="G11" s="3">
        <v>0</v>
      </c>
      <c r="H11" s="2">
        <v>204</v>
      </c>
      <c r="I11" s="10">
        <v>111</v>
      </c>
      <c r="J11" s="10">
        <f t="shared" si="0"/>
        <v>315</v>
      </c>
      <c r="L11" s="3" t="str">
        <f t="array" ref="L11">LEFT(INDEX($B:$B, ROW($B$3) + (ROW()-ROW($G$3))*5), LEN(INDEX($B:$B, ROW($B$3) + (ROW()-ROW($G$3))*5))-2)</f>
        <v>n_4_25</v>
      </c>
      <c r="M11" s="3">
        <f t="shared" ca="1" si="3"/>
        <v>0.2</v>
      </c>
      <c r="O11" s="3" t="str">
        <f t="array" ref="O11">LEFT(INDEX($B:$B, ROW($B$3) + (ROW()-ROW($G$3))*5), LEN(INDEX($B:$B, ROW($B$3) + (ROW()-ROW($G$3))*5))-2)</f>
        <v>n_4_25</v>
      </c>
      <c r="P11" s="3">
        <f t="shared" ca="1" si="1"/>
        <v>36.200000000000003</v>
      </c>
      <c r="Q11" s="3">
        <f t="shared" ca="1" si="2"/>
        <v>23.8</v>
      </c>
    </row>
    <row r="12" spans="1:22" x14ac:dyDescent="0.45">
      <c r="B12" s="3" t="s">
        <v>24</v>
      </c>
      <c r="C12" s="3">
        <v>5368.02</v>
      </c>
      <c r="D12" s="2">
        <v>4.37</v>
      </c>
      <c r="E12" s="3">
        <v>0</v>
      </c>
      <c r="F12" s="2">
        <v>5368.02</v>
      </c>
      <c r="G12" s="3">
        <v>0</v>
      </c>
      <c r="H12" s="2">
        <v>354</v>
      </c>
      <c r="I12" s="10">
        <v>113</v>
      </c>
      <c r="J12" s="10">
        <f t="shared" si="0"/>
        <v>467</v>
      </c>
      <c r="L12" s="3" t="str">
        <f t="array" ref="L12">LEFT(INDEX($B:$B, ROW($B$3) + (ROW()-ROW($G$3))*5), LEN(INDEX($B:$B, ROW($B$3) + (ROW()-ROW($G$3))*5))-2)</f>
        <v>n_4_35</v>
      </c>
      <c r="M12" s="3">
        <f t="shared" ca="1" si="3"/>
        <v>0.3</v>
      </c>
      <c r="O12" s="3" t="str">
        <f t="array" ref="O12">LEFT(INDEX($B:$B, ROW($B$3) + (ROW()-ROW($G$3))*5), LEN(INDEX($B:$B, ROW($B$3) + (ROW()-ROW($G$3))*5))-2)</f>
        <v>n_4_35</v>
      </c>
      <c r="P12" s="3">
        <f t="shared" ca="1" si="1"/>
        <v>55.6</v>
      </c>
      <c r="Q12" s="3">
        <f t="shared" ca="1" si="2"/>
        <v>50.6</v>
      </c>
      <c r="S12" s="3" t="s">
        <v>25</v>
      </c>
      <c r="T12" s="10" t="s">
        <v>13</v>
      </c>
    </row>
    <row r="13" spans="1:22" x14ac:dyDescent="0.45">
      <c r="B13" s="3" t="s">
        <v>26</v>
      </c>
      <c r="C13" s="3">
        <v>7351.58</v>
      </c>
      <c r="D13" s="2">
        <v>4.57</v>
      </c>
      <c r="E13" s="3">
        <v>0</v>
      </c>
      <c r="F13" s="2">
        <v>7351.58</v>
      </c>
      <c r="G13" s="3">
        <v>0</v>
      </c>
      <c r="H13" s="2">
        <v>310</v>
      </c>
      <c r="I13" s="10">
        <v>248</v>
      </c>
      <c r="J13" s="10">
        <f t="shared" si="0"/>
        <v>558</v>
      </c>
      <c r="L13" s="3" t="str">
        <f t="array" ref="L13">LEFT(INDEX($B:$B, ROW($B$3) + (ROW()-ROW($G$3))*5), LEN(INDEX($B:$B, ROW($B$3) + (ROW()-ROW($G$3))*5))-2)</f>
        <v>n_4_50</v>
      </c>
      <c r="M13" s="3">
        <f t="shared" ca="1" si="3"/>
        <v>1</v>
      </c>
      <c r="O13" s="3" t="str">
        <f t="array" ref="O13">LEFT(INDEX($B:$B, ROW($B$3) + (ROW()-ROW($G$3))*5), LEN(INDEX($B:$B, ROW($B$3) + (ROW()-ROW($G$3))*5))-2)</f>
        <v>n_4_50</v>
      </c>
      <c r="P13" s="3">
        <f t="shared" ca="1" si="1"/>
        <v>164.4</v>
      </c>
      <c r="Q13" s="3">
        <f t="shared" ca="1" si="2"/>
        <v>136.19999999999999</v>
      </c>
      <c r="S13" s="3" t="s">
        <v>27</v>
      </c>
      <c r="T13" s="10">
        <f t="array" aca="1" ref="T13" ca="1">MEDIAN(_xlfn._xlws.FILTER($J$1:$J$122,ISNUMBER(SEARCH(INDIRECT("RC[-1]",0),$B$1:$B$122))))</f>
        <v>91.5</v>
      </c>
    </row>
    <row r="14" spans="1:22" x14ac:dyDescent="0.45">
      <c r="B14" s="3" t="s">
        <v>28</v>
      </c>
      <c r="C14" s="3">
        <v>7253.39</v>
      </c>
      <c r="D14" s="2">
        <v>9.35</v>
      </c>
      <c r="E14" s="3">
        <v>0</v>
      </c>
      <c r="F14" s="2">
        <v>7253.39</v>
      </c>
      <c r="G14" s="3">
        <v>0</v>
      </c>
      <c r="H14" s="2">
        <v>835</v>
      </c>
      <c r="I14" s="10">
        <v>340</v>
      </c>
      <c r="J14" s="10">
        <f t="shared" si="0"/>
        <v>1175</v>
      </c>
      <c r="L14" s="3" t="str">
        <f t="array" ref="L14">LEFT(INDEX($B:$B, ROW($B$3) + (ROW()-ROW($G$3))*5), LEN(INDEX($B:$B, ROW($B$3) + (ROW()-ROW($G$3))*5))-2)</f>
        <v>n_4_100</v>
      </c>
      <c r="M14" s="3">
        <f t="shared" ca="1" si="3"/>
        <v>17.5</v>
      </c>
      <c r="O14" s="3" t="str">
        <f t="array" ref="O14">LEFT(INDEX($B:$B, ROW($B$3) + (ROW()-ROW($G$3))*5), LEN(INDEX($B:$B, ROW($B$3) + (ROW()-ROW($G$3))*5))-2)</f>
        <v>n_4_100</v>
      </c>
      <c r="P14" s="3">
        <f t="shared" ca="1" si="1"/>
        <v>2062.6</v>
      </c>
      <c r="Q14" s="3">
        <f t="shared" ca="1" si="2"/>
        <v>1208.4000000000001</v>
      </c>
      <c r="S14" s="3" t="s">
        <v>29</v>
      </c>
      <c r="T14" s="10">
        <f t="array" aca="1" ref="T14" ca="1">MEDIAN(_xlfn._xlws.FILTER($J$1:$J$122,ISNUMBER(SEARCH(INDIRECT("RC[-1]",0),$B$1:$B$122))))</f>
        <v>169</v>
      </c>
    </row>
    <row r="15" spans="1:22" x14ac:dyDescent="0.45">
      <c r="B15" s="3" t="s">
        <v>30</v>
      </c>
      <c r="C15" s="3">
        <v>7485.02</v>
      </c>
      <c r="D15" s="2">
        <v>10.62</v>
      </c>
      <c r="E15" s="3">
        <v>0</v>
      </c>
      <c r="F15" s="2">
        <v>7485.02</v>
      </c>
      <c r="G15" s="3">
        <v>0</v>
      </c>
      <c r="H15" s="2">
        <v>483</v>
      </c>
      <c r="I15" s="10">
        <v>337</v>
      </c>
      <c r="J15" s="10">
        <f t="shared" si="0"/>
        <v>820</v>
      </c>
      <c r="L15" s="3" t="str">
        <f t="array" ref="L15">LEFT(INDEX($B:$B, ROW($B$3) + (ROW()-ROW($G$3))*5), LEN(INDEX($B:$B, ROW($B$3) + (ROW()-ROW($G$3))*5))-2)</f>
        <v>n_8_25</v>
      </c>
      <c r="M15" s="3">
        <f t="shared" ca="1" si="3"/>
        <v>0.1</v>
      </c>
      <c r="O15" s="3" t="str">
        <f t="array" ref="O15">LEFT(INDEX($B:$B, ROW($B$3) + (ROW()-ROW($G$3))*5), LEN(INDEX($B:$B, ROW($B$3) + (ROW()-ROW($G$3))*5))-2)</f>
        <v>n_8_25</v>
      </c>
      <c r="P15" s="3">
        <f t="shared" ca="1" si="1"/>
        <v>13.4</v>
      </c>
      <c r="Q15" s="3">
        <f t="shared" ca="1" si="2"/>
        <v>10.4</v>
      </c>
      <c r="S15" s="3" t="s">
        <v>31</v>
      </c>
      <c r="T15" s="10">
        <f t="array" aca="1" ref="T15" ca="1">MEDIAN(_xlfn._xlws.FILTER($J$1:$J$122,ISNUMBER(SEARCH(INDIRECT("RC[-1]",0),$B$1:$B$122))))</f>
        <v>959</v>
      </c>
    </row>
    <row r="16" spans="1:22" x14ac:dyDescent="0.45">
      <c r="B16" s="3" t="s">
        <v>32</v>
      </c>
      <c r="C16" s="3">
        <v>6604.94</v>
      </c>
      <c r="D16" s="2">
        <v>8.1999999999999993</v>
      </c>
      <c r="E16" s="3">
        <v>0</v>
      </c>
      <c r="F16" s="2">
        <v>6604.94</v>
      </c>
      <c r="G16" s="3">
        <v>0</v>
      </c>
      <c r="H16" s="2">
        <v>728</v>
      </c>
      <c r="I16" s="10">
        <v>490</v>
      </c>
      <c r="J16" s="10">
        <f t="shared" si="0"/>
        <v>1218</v>
      </c>
      <c r="L16" s="3" t="str">
        <f t="array" ref="L16">LEFT(INDEX($B:$B, ROW($B$3) + (ROW()-ROW($G$3))*5), LEN(INDEX($B:$B, ROW($B$3) + (ROW()-ROW($G$3))*5))-2)</f>
        <v>n_8_35</v>
      </c>
      <c r="M16" s="3">
        <f t="shared" ca="1" si="3"/>
        <v>0.2</v>
      </c>
      <c r="O16" s="3" t="str">
        <f t="array" ref="O16">LEFT(INDEX($B:$B, ROW($B$3) + (ROW()-ROW($G$3))*5), LEN(INDEX($B:$B, ROW($B$3) + (ROW()-ROW($G$3))*5))-2)</f>
        <v>n_8_35</v>
      </c>
      <c r="P16" s="3">
        <f t="shared" ca="1" si="1"/>
        <v>15.4</v>
      </c>
      <c r="Q16" s="3">
        <f t="shared" ca="1" si="2"/>
        <v>20.2</v>
      </c>
    </row>
    <row r="17" spans="2:17" x14ac:dyDescent="0.45">
      <c r="B17" s="3" t="s">
        <v>33</v>
      </c>
      <c r="C17" s="3">
        <v>7370.88</v>
      </c>
      <c r="D17" s="2">
        <v>6.27</v>
      </c>
      <c r="E17" s="3">
        <v>0</v>
      </c>
      <c r="F17" s="2">
        <v>7370.88</v>
      </c>
      <c r="G17" s="3">
        <v>0</v>
      </c>
      <c r="H17" s="2">
        <v>470</v>
      </c>
      <c r="I17" s="10">
        <v>290</v>
      </c>
      <c r="J17" s="10">
        <f t="shared" si="0"/>
        <v>760</v>
      </c>
      <c r="L17" s="3" t="str">
        <f t="array" ref="L17">LEFT(INDEX($B:$B, ROW($B$3) + (ROW()-ROW($G$3))*5), LEN(INDEX($B:$B, ROW($B$3) + (ROW()-ROW($G$3))*5))-2)</f>
        <v>n_8_50</v>
      </c>
      <c r="M17" s="3">
        <f t="shared" ca="1" si="3"/>
        <v>0.4</v>
      </c>
      <c r="O17" s="3" t="str">
        <f t="array" ref="O17">LEFT(INDEX($B:$B, ROW($B$3) + (ROW()-ROW($G$3))*5), LEN(INDEX($B:$B, ROW($B$3) + (ROW()-ROW($G$3))*5))-2)</f>
        <v>n_8_50</v>
      </c>
      <c r="P17" s="3">
        <f t="shared" ca="1" si="1"/>
        <v>31.4</v>
      </c>
      <c r="Q17" s="3">
        <f t="shared" ca="1" si="2"/>
        <v>44.2</v>
      </c>
    </row>
    <row r="18" spans="2:17" x14ac:dyDescent="0.45">
      <c r="B18" s="3" t="s">
        <v>34</v>
      </c>
      <c r="C18" s="3">
        <v>11458.17</v>
      </c>
      <c r="D18" s="2">
        <v>124.82</v>
      </c>
      <c r="E18" s="3">
        <v>1</v>
      </c>
      <c r="F18" s="2">
        <v>11462.64</v>
      </c>
      <c r="G18" s="3">
        <v>0.31</v>
      </c>
      <c r="H18" s="2">
        <v>7332</v>
      </c>
      <c r="I18" s="10">
        <v>5774</v>
      </c>
      <c r="J18" s="10">
        <f t="shared" si="0"/>
        <v>13106</v>
      </c>
      <c r="L18" s="3" t="str">
        <f t="array" ref="L18">LEFT(INDEX($B:$B, ROW($B$3) + (ROW()-ROW($G$3))*5), LEN(INDEX($B:$B, ROW($B$3) + (ROW()-ROW($G$3))*5))-2)</f>
        <v>n_8_100</v>
      </c>
      <c r="M18" s="3">
        <f t="shared" ca="1" si="3"/>
        <v>1.6</v>
      </c>
      <c r="O18" s="3" t="str">
        <f t="array" ref="O18">LEFT(INDEX($B:$B, ROW($B$3) + (ROW()-ROW($G$3))*5), LEN(INDEX($B:$B, ROW($B$3) + (ROW()-ROW($G$3))*5))-2)</f>
        <v>n_8_100</v>
      </c>
      <c r="P18" s="3">
        <f t="shared" ca="1" si="1"/>
        <v>100.4</v>
      </c>
      <c r="Q18" s="3">
        <f t="shared" ca="1" si="2"/>
        <v>203.8</v>
      </c>
    </row>
    <row r="19" spans="2:17" x14ac:dyDescent="0.45">
      <c r="B19" s="3" t="s">
        <v>35</v>
      </c>
      <c r="C19" s="3">
        <v>12856.6</v>
      </c>
      <c r="D19" s="2">
        <v>521.37</v>
      </c>
      <c r="E19" s="3">
        <v>0</v>
      </c>
      <c r="F19" s="2">
        <v>12856.6</v>
      </c>
      <c r="G19" s="3">
        <v>0</v>
      </c>
      <c r="H19" s="2">
        <v>21801</v>
      </c>
      <c r="I19" s="10">
        <v>9895</v>
      </c>
      <c r="J19" s="10">
        <f t="shared" si="0"/>
        <v>31696</v>
      </c>
      <c r="L19" s="3" t="str">
        <f t="array" ref="L19">LEFT(INDEX($B:$B, ROW($B$3) + (ROW()-ROW($G$3))*5), LEN(INDEX($B:$B, ROW($B$3) + (ROW()-ROW($G$3))*5))-2)</f>
        <v>w_4_25</v>
      </c>
      <c r="M19" s="3">
        <f t="shared" ca="1" si="3"/>
        <v>2.6</v>
      </c>
      <c r="O19" s="3" t="str">
        <f t="array" ref="O19">LEFT(INDEX($B:$B, ROW($B$3) + (ROW()-ROW($G$3))*5), LEN(INDEX($B:$B, ROW($B$3) + (ROW()-ROW($G$3))*5))-2)</f>
        <v>w_4_25</v>
      </c>
      <c r="P19" s="3">
        <f t="shared" ca="1" si="1"/>
        <v>256.8</v>
      </c>
      <c r="Q19" s="3">
        <f t="shared" ca="1" si="2"/>
        <v>33</v>
      </c>
    </row>
    <row r="20" spans="2:17" x14ac:dyDescent="0.45">
      <c r="B20" s="3" t="s">
        <v>36</v>
      </c>
      <c r="C20" s="3">
        <v>12966.97</v>
      </c>
      <c r="D20" s="2">
        <v>72.989999999999995</v>
      </c>
      <c r="E20" s="3">
        <v>0</v>
      </c>
      <c r="F20" s="2">
        <v>12966.97</v>
      </c>
      <c r="G20" s="3">
        <v>0</v>
      </c>
      <c r="H20" s="2">
        <v>3041</v>
      </c>
      <c r="I20" s="10">
        <v>2780</v>
      </c>
      <c r="J20" s="10">
        <f t="shared" si="0"/>
        <v>5821</v>
      </c>
      <c r="L20" s="3" t="str">
        <f t="array" ref="L20">LEFT(INDEX($B:$B, ROW($B$3) + (ROW()-ROW($G$3))*5), LEN(INDEX($B:$B, ROW($B$3) + (ROW()-ROW($G$3))*5))-2)</f>
        <v>w_4_35</v>
      </c>
      <c r="M20" s="3">
        <f t="shared" ca="1" si="3"/>
        <v>10.9</v>
      </c>
      <c r="O20" s="3" t="str">
        <f t="array" ref="O20">LEFT(INDEX($B:$B, ROW($B$3) + (ROW()-ROW($G$3))*5), LEN(INDEX($B:$B, ROW($B$3) + (ROW()-ROW($G$3))*5))-2)</f>
        <v>w_4_35</v>
      </c>
      <c r="P20" s="3">
        <f t="shared" ca="1" si="1"/>
        <v>1611.8</v>
      </c>
      <c r="Q20" s="3">
        <f t="shared" ca="1" si="2"/>
        <v>362.2</v>
      </c>
    </row>
    <row r="21" spans="2:17" x14ac:dyDescent="0.45">
      <c r="B21" s="3" t="s">
        <v>37</v>
      </c>
      <c r="C21" s="3">
        <v>11111.41</v>
      </c>
      <c r="D21" s="2">
        <v>371.32</v>
      </c>
      <c r="E21" s="3">
        <v>1</v>
      </c>
      <c r="F21" s="2">
        <v>11139.38</v>
      </c>
      <c r="G21" s="3">
        <v>0.63</v>
      </c>
      <c r="H21" s="2">
        <v>18444</v>
      </c>
      <c r="I21" s="10">
        <v>7283</v>
      </c>
      <c r="J21" s="10">
        <f t="shared" si="0"/>
        <v>25727</v>
      </c>
      <c r="L21" s="3" t="str">
        <f t="array" ref="L21">LEFT(INDEX($B:$B, ROW($B$3) + (ROW()-ROW($G$3))*5), LEN(INDEX($B:$B, ROW($B$3) + (ROW()-ROW($G$3))*5))-2)</f>
        <v>w_4_50</v>
      </c>
      <c r="M21" s="3">
        <f t="shared" ca="1" si="3"/>
        <v>55.9</v>
      </c>
      <c r="O21" s="3" t="str">
        <f t="array" ref="O21">LEFT(INDEX($B:$B, ROW($B$3) + (ROW()-ROW($G$3))*5), LEN(INDEX($B:$B, ROW($B$3) + (ROW()-ROW($G$3))*5))-2)</f>
        <v>w_4_50</v>
      </c>
      <c r="P21" s="3">
        <f t="shared" ca="1" si="1"/>
        <v>7853.2</v>
      </c>
      <c r="Q21" s="3">
        <f t="shared" ca="1" si="2"/>
        <v>2496</v>
      </c>
    </row>
    <row r="22" spans="2:17" x14ac:dyDescent="0.45">
      <c r="B22" s="3" t="s">
        <v>38</v>
      </c>
      <c r="C22" s="3">
        <v>11906.54</v>
      </c>
      <c r="D22" s="2">
        <v>230.04</v>
      </c>
      <c r="E22" s="3">
        <v>5</v>
      </c>
      <c r="F22" s="2">
        <v>12136.52</v>
      </c>
      <c r="G22" s="3">
        <v>1.43</v>
      </c>
      <c r="H22" s="2">
        <v>10126</v>
      </c>
      <c r="I22" s="10">
        <v>5853</v>
      </c>
      <c r="J22" s="10">
        <f t="shared" si="0"/>
        <v>15979</v>
      </c>
      <c r="L22" s="3" t="str">
        <f t="array" ref="L22">LEFT(INDEX($B:$B, ROW($B$3) + (ROW()-ROW($G$3))*5), LEN(INDEX($B:$B, ROW($B$3) + (ROW()-ROW($G$3))*5))-2)</f>
        <v>w_4_100</v>
      </c>
      <c r="M22" s="3">
        <f>ROUND(D100,1)</f>
        <v>1082.2</v>
      </c>
      <c r="O22" s="3" t="str">
        <f t="array" ref="O22">LEFT(INDEX($B:$B, ROW($B$3) + (ROW()-ROW($G$3))*5), LEN(INDEX($B:$B, ROW($B$3) + (ROW()-ROW($G$3))*5))-2)</f>
        <v>w_4_100</v>
      </c>
      <c r="P22" s="3">
        <f t="shared" ca="1" si="1"/>
        <v>765990.40000000002</v>
      </c>
      <c r="Q22" s="3">
        <f t="shared" ca="1" si="2"/>
        <v>318328.40000000002</v>
      </c>
    </row>
    <row r="23" spans="2:17" x14ac:dyDescent="0.45">
      <c r="B23" s="3" t="s">
        <v>39</v>
      </c>
      <c r="C23" s="3">
        <v>3681.02</v>
      </c>
      <c r="D23" s="2">
        <v>0.36</v>
      </c>
      <c r="E23" s="3">
        <v>0</v>
      </c>
      <c r="F23" s="2">
        <v>3681.02</v>
      </c>
      <c r="G23" s="3">
        <v>0</v>
      </c>
      <c r="H23" s="2">
        <v>22</v>
      </c>
      <c r="I23" s="10">
        <v>7</v>
      </c>
      <c r="J23" s="10">
        <f t="shared" si="0"/>
        <v>29</v>
      </c>
      <c r="L23" s="3" t="str">
        <f t="array" ref="L23">LEFT(INDEX($B:$B, ROW($B$3) + (ROW()-ROW($G$3))*5), LEN(INDEX($B:$B, ROW($B$3) + (ROW()-ROW($G$3))*5))-2)</f>
        <v>w_8_25</v>
      </c>
      <c r="M23" s="3">
        <f t="shared" ref="M23:M26" ca="1" si="4">ROUND(AVERAGE(OFFSET($D$3,(ROW()-ROW($O$3))*5,0,5,1)),1)</f>
        <v>0.5</v>
      </c>
      <c r="O23" s="3" t="str">
        <f t="array" ref="O23">LEFT(INDEX($B:$B, ROW($B$3) + (ROW()-ROW($G$3))*5), LEN(INDEX($B:$B, ROW($B$3) + (ROW()-ROW($G$3))*5))-2)</f>
        <v>w_8_25</v>
      </c>
      <c r="P23" s="3">
        <f t="shared" ca="1" si="1"/>
        <v>43</v>
      </c>
      <c r="Q23" s="3">
        <f t="shared" ca="1" si="2"/>
        <v>6.4</v>
      </c>
    </row>
    <row r="24" spans="2:17" x14ac:dyDescent="0.45">
      <c r="B24" s="3" t="s">
        <v>40</v>
      </c>
      <c r="C24" s="3">
        <v>4195.28</v>
      </c>
      <c r="D24" s="2">
        <v>0.26</v>
      </c>
      <c r="E24" s="3">
        <v>0</v>
      </c>
      <c r="F24" s="2">
        <v>4195.28</v>
      </c>
      <c r="G24" s="3">
        <v>0</v>
      </c>
      <c r="H24" s="2">
        <v>12</v>
      </c>
      <c r="I24" s="10">
        <v>5</v>
      </c>
      <c r="J24" s="10">
        <f t="shared" si="0"/>
        <v>17</v>
      </c>
      <c r="L24" s="3" t="str">
        <f t="array" ref="L24">LEFT(INDEX($B:$B, ROW($B$3) + (ROW()-ROW($G$3))*5), LEN(INDEX($B:$B, ROW($B$3) + (ROW()-ROW($G$3))*5))-2)</f>
        <v>w_8_35</v>
      </c>
      <c r="M24" s="3">
        <f t="shared" ca="1" si="4"/>
        <v>0.9</v>
      </c>
      <c r="O24" s="3" t="str">
        <f t="array" ref="O24">LEFT(INDEX($B:$B, ROW($B$3) + (ROW()-ROW($G$3))*5), LEN(INDEX($B:$B, ROW($B$3) + (ROW()-ROW($G$3))*5))-2)</f>
        <v>w_8_35</v>
      </c>
      <c r="P24" s="3">
        <f t="shared" ca="1" si="1"/>
        <v>60.8</v>
      </c>
      <c r="Q24" s="3">
        <f t="shared" ca="1" si="2"/>
        <v>21.6</v>
      </c>
    </row>
    <row r="25" spans="2:17" x14ac:dyDescent="0.45">
      <c r="B25" s="3" t="s">
        <v>41</v>
      </c>
      <c r="C25" s="3">
        <v>3976.11</v>
      </c>
      <c r="D25" s="2">
        <v>1.19</v>
      </c>
      <c r="E25" s="3">
        <v>0</v>
      </c>
      <c r="F25" s="2">
        <v>3976.11</v>
      </c>
      <c r="G25" s="3">
        <v>0</v>
      </c>
      <c r="H25" s="2">
        <v>35</v>
      </c>
      <c r="I25" s="10">
        <v>13</v>
      </c>
      <c r="J25" s="10">
        <f t="shared" si="0"/>
        <v>48</v>
      </c>
      <c r="L25" s="3" t="str">
        <f t="array" ref="L25">LEFT(INDEX($B:$B, ROW($B$3) + (ROW()-ROW($G$3))*5), LEN(INDEX($B:$B, ROW($B$3) + (ROW()-ROW($G$3))*5))-2)</f>
        <v>w_8_50</v>
      </c>
      <c r="M25" s="3">
        <f t="shared" ca="1" si="4"/>
        <v>5</v>
      </c>
      <c r="O25" s="3" t="str">
        <f t="array" ref="O25">LEFT(INDEX($B:$B, ROW($B$3) + (ROW()-ROW($G$3))*5), LEN(INDEX($B:$B, ROW($B$3) + (ROW()-ROW($G$3))*5))-2)</f>
        <v>w_8_50</v>
      </c>
      <c r="P25" s="3">
        <f t="shared" ca="1" si="1"/>
        <v>293.60000000000002</v>
      </c>
      <c r="Q25" s="3">
        <f t="shared" ca="1" si="2"/>
        <v>107.6</v>
      </c>
    </row>
    <row r="26" spans="2:17" x14ac:dyDescent="0.45">
      <c r="B26" s="3" t="s">
        <v>42</v>
      </c>
      <c r="C26" s="3">
        <v>4130.91</v>
      </c>
      <c r="D26" s="2">
        <v>0.17</v>
      </c>
      <c r="E26" s="3">
        <v>0</v>
      </c>
      <c r="F26" s="2">
        <v>4130.91</v>
      </c>
      <c r="G26" s="3">
        <v>0</v>
      </c>
      <c r="H26" s="2">
        <v>15</v>
      </c>
      <c r="I26" s="10">
        <v>9</v>
      </c>
      <c r="J26" s="10">
        <f t="shared" si="0"/>
        <v>24</v>
      </c>
      <c r="L26" s="3" t="str">
        <f t="array" ref="L26">LEFT(INDEX($B:$B, ROW($B$3) + (ROW()-ROW($G$3))*5), LEN(INDEX($B:$B, ROW($B$3) + (ROW()-ROW($G$3))*5))-2)</f>
        <v>w_8_100</v>
      </c>
      <c r="M26" s="3">
        <f t="shared" ca="1" si="4"/>
        <v>85.3</v>
      </c>
      <c r="O26" s="3" t="str">
        <f t="array" ref="O26">LEFT(INDEX($B:$B, ROW($B$3) + (ROW()-ROW($G$3))*5), LEN(INDEX($B:$B, ROW($B$3) + (ROW()-ROW($G$3))*5))-2)</f>
        <v>w_8_100</v>
      </c>
      <c r="P26" s="3">
        <f t="shared" ca="1" si="1"/>
        <v>3953.4</v>
      </c>
      <c r="Q26" s="3">
        <f t="shared" ca="1" si="2"/>
        <v>2499.1999999999998</v>
      </c>
    </row>
    <row r="27" spans="2:17" x14ac:dyDescent="0.45">
      <c r="B27" s="3" t="s">
        <v>43</v>
      </c>
      <c r="C27" s="3">
        <v>6136.95</v>
      </c>
      <c r="D27" s="2">
        <v>0.21</v>
      </c>
      <c r="E27" s="3">
        <v>0</v>
      </c>
      <c r="F27" s="2">
        <v>6136.95</v>
      </c>
      <c r="G27" s="3">
        <v>0</v>
      </c>
      <c r="H27" s="2">
        <v>11</v>
      </c>
      <c r="I27" s="10">
        <v>10</v>
      </c>
      <c r="J27" s="10">
        <f t="shared" si="0"/>
        <v>21</v>
      </c>
    </row>
    <row r="28" spans="2:17" x14ac:dyDescent="0.45">
      <c r="B28" s="3" t="s">
        <v>44</v>
      </c>
      <c r="C28" s="3">
        <v>5758.68</v>
      </c>
      <c r="D28" s="2">
        <v>0.52</v>
      </c>
      <c r="E28" s="3">
        <v>0</v>
      </c>
      <c r="F28" s="2">
        <v>5758.68</v>
      </c>
      <c r="G28" s="3">
        <v>0</v>
      </c>
      <c r="H28" s="2">
        <v>24</v>
      </c>
      <c r="I28" s="10">
        <v>21</v>
      </c>
      <c r="J28" s="10">
        <f t="shared" si="0"/>
        <v>45</v>
      </c>
    </row>
    <row r="29" spans="2:17" x14ac:dyDescent="0.45">
      <c r="B29" s="3" t="s">
        <v>45</v>
      </c>
      <c r="C29" s="3">
        <v>5832.2</v>
      </c>
      <c r="D29" s="2">
        <v>0.32</v>
      </c>
      <c r="E29" s="3">
        <v>0</v>
      </c>
      <c r="F29" s="2">
        <v>5832.2</v>
      </c>
      <c r="G29" s="3">
        <v>0</v>
      </c>
      <c r="H29" s="2">
        <v>16</v>
      </c>
      <c r="I29" s="10">
        <v>16</v>
      </c>
      <c r="J29" s="10">
        <f t="shared" si="0"/>
        <v>32</v>
      </c>
    </row>
    <row r="30" spans="2:17" x14ac:dyDescent="0.45">
      <c r="B30" s="3" t="s">
        <v>46</v>
      </c>
      <c r="C30" s="3">
        <v>5656.36</v>
      </c>
      <c r="D30" s="2">
        <v>1.04</v>
      </c>
      <c r="E30" s="3">
        <v>0</v>
      </c>
      <c r="F30" s="2">
        <v>5656.36</v>
      </c>
      <c r="G30" s="3">
        <v>0</v>
      </c>
      <c r="H30" s="2">
        <v>23</v>
      </c>
      <c r="I30" s="10">
        <v>13</v>
      </c>
      <c r="J30" s="10">
        <f t="shared" si="0"/>
        <v>36</v>
      </c>
    </row>
    <row r="31" spans="2:17" x14ac:dyDescent="0.45">
      <c r="B31" s="3" t="s">
        <v>47</v>
      </c>
      <c r="C31" s="3">
        <v>5597.22</v>
      </c>
      <c r="D31" s="2">
        <v>0.81</v>
      </c>
      <c r="E31" s="3">
        <v>0</v>
      </c>
      <c r="F31" s="2">
        <v>5597.22</v>
      </c>
      <c r="G31" s="3">
        <v>0</v>
      </c>
      <c r="H31" s="2">
        <v>33</v>
      </c>
      <c r="I31" s="10">
        <v>16</v>
      </c>
      <c r="J31" s="10">
        <f t="shared" si="0"/>
        <v>49</v>
      </c>
      <c r="L31" s="3" t="s">
        <v>48</v>
      </c>
      <c r="M31" s="3" t="s">
        <v>195</v>
      </c>
      <c r="N31" s="3" t="s">
        <v>191</v>
      </c>
      <c r="O31" s="3" t="s">
        <v>49</v>
      </c>
    </row>
    <row r="32" spans="2:17" x14ac:dyDescent="0.45">
      <c r="B32" s="3" t="s">
        <v>50</v>
      </c>
      <c r="C32" s="3">
        <v>6693.24</v>
      </c>
      <c r="D32" s="2">
        <v>0.36</v>
      </c>
      <c r="E32" s="3">
        <v>0</v>
      </c>
      <c r="F32" s="2">
        <v>6693.24</v>
      </c>
      <c r="G32" s="3">
        <v>0</v>
      </c>
      <c r="H32" s="2">
        <v>8</v>
      </c>
      <c r="I32" s="10">
        <v>13</v>
      </c>
      <c r="J32" s="10">
        <f t="shared" si="0"/>
        <v>21</v>
      </c>
      <c r="L32" s="3" t="s">
        <v>51</v>
      </c>
      <c r="M32" s="3">
        <v>3</v>
      </c>
      <c r="N32" s="3">
        <f>ROUND(SUM(E18:E22)/M32,1)</f>
        <v>2.2999999999999998</v>
      </c>
      <c r="O32" s="3">
        <f>ROUND(SUM(G18:G22)/M32,1)</f>
        <v>0.8</v>
      </c>
    </row>
    <row r="33" spans="2:15" x14ac:dyDescent="0.45">
      <c r="B33" s="3" t="s">
        <v>52</v>
      </c>
      <c r="C33" s="3">
        <v>6221.15</v>
      </c>
      <c r="D33" s="2">
        <v>1.1299999999999999</v>
      </c>
      <c r="E33" s="3">
        <v>0</v>
      </c>
      <c r="F33" s="2">
        <v>6221.15</v>
      </c>
      <c r="G33" s="3">
        <v>0</v>
      </c>
      <c r="H33" s="2">
        <v>45</v>
      </c>
      <c r="I33" s="10">
        <v>32</v>
      </c>
      <c r="J33" s="10">
        <f t="shared" si="0"/>
        <v>77</v>
      </c>
      <c r="L33" s="3" t="s">
        <v>53</v>
      </c>
      <c r="M33" s="3">
        <v>2</v>
      </c>
      <c r="N33" s="3">
        <f>ROUND(SUM(E33:E37)/M33,2)</f>
        <v>1</v>
      </c>
      <c r="O33" s="3">
        <f>ROUND(SUM(G33:G37)/M33,1)</f>
        <v>0.1</v>
      </c>
    </row>
    <row r="34" spans="2:15" x14ac:dyDescent="0.45">
      <c r="B34" s="3" t="s">
        <v>54</v>
      </c>
      <c r="C34" s="3">
        <v>8221.5400000000009</v>
      </c>
      <c r="D34" s="2">
        <v>1.25</v>
      </c>
      <c r="E34" s="3">
        <v>1</v>
      </c>
      <c r="F34" s="2">
        <v>8832.26</v>
      </c>
      <c r="G34" s="3">
        <v>0.01</v>
      </c>
      <c r="H34" s="2">
        <v>35</v>
      </c>
      <c r="I34" s="10">
        <v>36</v>
      </c>
      <c r="J34" s="10">
        <f t="shared" si="0"/>
        <v>71</v>
      </c>
      <c r="L34" s="3" t="s">
        <v>55</v>
      </c>
      <c r="M34" s="3">
        <v>5</v>
      </c>
      <c r="N34" s="3">
        <f>ROUND(SUM(E38:E42)/$M$34,2)</f>
        <v>1.6</v>
      </c>
      <c r="O34" s="3">
        <f>ROUND(SUM(G38:G42)/M34,1)</f>
        <v>0.1</v>
      </c>
    </row>
    <row r="35" spans="2:15" x14ac:dyDescent="0.45">
      <c r="B35" s="3" t="s">
        <v>56</v>
      </c>
      <c r="C35" s="3">
        <v>7071.04</v>
      </c>
      <c r="D35" s="2">
        <v>3.49</v>
      </c>
      <c r="E35" s="3">
        <v>0</v>
      </c>
      <c r="F35" s="2">
        <v>7071.04</v>
      </c>
      <c r="G35" s="3">
        <v>0</v>
      </c>
      <c r="H35" s="2">
        <v>100</v>
      </c>
      <c r="I35" s="10">
        <v>88</v>
      </c>
      <c r="J35" s="10">
        <f t="shared" ref="J35:J66" si="5">H35+I35</f>
        <v>188</v>
      </c>
      <c r="L35" s="3" t="s">
        <v>57</v>
      </c>
      <c r="M35" s="3">
        <v>1</v>
      </c>
      <c r="N35" s="3">
        <f>E69</f>
        <v>1</v>
      </c>
      <c r="O35" s="3">
        <v>0.1</v>
      </c>
    </row>
    <row r="36" spans="2:15" x14ac:dyDescent="0.45">
      <c r="B36" s="3" t="s">
        <v>58</v>
      </c>
      <c r="C36" s="3">
        <v>6621.83</v>
      </c>
      <c r="D36" s="2">
        <v>1.28</v>
      </c>
      <c r="E36" s="3">
        <v>0</v>
      </c>
      <c r="F36" s="2">
        <v>6621.83</v>
      </c>
      <c r="G36" s="3">
        <v>0</v>
      </c>
      <c r="H36" s="2">
        <v>38</v>
      </c>
      <c r="I36" s="10">
        <v>38</v>
      </c>
      <c r="J36" s="10">
        <f t="shared" si="5"/>
        <v>76</v>
      </c>
      <c r="L36" s="3" t="s">
        <v>59</v>
      </c>
      <c r="M36" s="3">
        <v>1</v>
      </c>
      <c r="N36" s="3">
        <v>1</v>
      </c>
      <c r="O36" s="3">
        <v>0.1</v>
      </c>
    </row>
    <row r="37" spans="2:15" x14ac:dyDescent="0.45">
      <c r="B37" s="3" t="s">
        <v>60</v>
      </c>
      <c r="C37" s="3">
        <v>8650.61</v>
      </c>
      <c r="D37" s="2">
        <v>1.64</v>
      </c>
      <c r="E37" s="3">
        <v>1</v>
      </c>
      <c r="F37" s="2">
        <v>8712.6200000000008</v>
      </c>
      <c r="G37" s="3">
        <v>0.16</v>
      </c>
      <c r="H37" s="2">
        <v>80</v>
      </c>
      <c r="I37" s="10">
        <v>52</v>
      </c>
      <c r="J37" s="10">
        <f t="shared" si="5"/>
        <v>132</v>
      </c>
      <c r="L37" s="3" t="s">
        <v>61</v>
      </c>
      <c r="M37" s="3">
        <v>1</v>
      </c>
      <c r="N37" s="3">
        <v>1</v>
      </c>
      <c r="O37" s="3">
        <v>0.1</v>
      </c>
    </row>
    <row r="38" spans="2:15" x14ac:dyDescent="0.45">
      <c r="B38" s="3" t="s">
        <v>62</v>
      </c>
      <c r="C38" s="3">
        <v>12784.17</v>
      </c>
      <c r="D38" s="2">
        <v>11.14</v>
      </c>
      <c r="E38" s="3">
        <v>2</v>
      </c>
      <c r="F38" s="2">
        <v>13467.73</v>
      </c>
      <c r="G38" s="3">
        <v>0.17</v>
      </c>
      <c r="H38" s="2">
        <v>398</v>
      </c>
      <c r="I38" s="10">
        <v>352</v>
      </c>
      <c r="J38" s="10">
        <f t="shared" si="5"/>
        <v>750</v>
      </c>
      <c r="L38" s="3" t="s">
        <v>63</v>
      </c>
      <c r="M38" s="3">
        <v>1</v>
      </c>
      <c r="N38" s="3">
        <v>2</v>
      </c>
      <c r="O38" s="3">
        <v>1</v>
      </c>
    </row>
    <row r="39" spans="2:15" x14ac:dyDescent="0.45">
      <c r="B39" s="3" t="s">
        <v>64</v>
      </c>
      <c r="C39" s="3">
        <v>15043.14</v>
      </c>
      <c r="D39" s="2">
        <v>10.19</v>
      </c>
      <c r="E39" s="3">
        <v>1</v>
      </c>
      <c r="F39" s="2">
        <v>15248.09</v>
      </c>
      <c r="G39" s="3">
        <v>0.01</v>
      </c>
      <c r="H39" s="2">
        <v>162</v>
      </c>
      <c r="I39" s="10">
        <v>188</v>
      </c>
      <c r="J39" s="10">
        <f t="shared" si="5"/>
        <v>350</v>
      </c>
      <c r="L39" s="3" t="s">
        <v>65</v>
      </c>
      <c r="M39" s="3">
        <v>1</v>
      </c>
      <c r="N39" s="3">
        <v>1</v>
      </c>
      <c r="O39" s="3">
        <v>0.5</v>
      </c>
    </row>
    <row r="40" spans="2:15" x14ac:dyDescent="0.45">
      <c r="B40" s="3" t="s">
        <v>66</v>
      </c>
      <c r="C40" s="3">
        <v>14917.3</v>
      </c>
      <c r="D40" s="2">
        <v>9.91</v>
      </c>
      <c r="E40" s="3">
        <v>1</v>
      </c>
      <c r="F40" s="2">
        <v>14934.89</v>
      </c>
      <c r="G40" s="3">
        <v>0.06</v>
      </c>
      <c r="H40" s="2">
        <v>226</v>
      </c>
      <c r="I40" s="10">
        <v>361</v>
      </c>
      <c r="J40" s="10">
        <f t="shared" si="5"/>
        <v>587</v>
      </c>
      <c r="L40" s="3" t="s">
        <v>68</v>
      </c>
      <c r="M40" s="3">
        <v>1</v>
      </c>
      <c r="N40" s="3">
        <v>1</v>
      </c>
      <c r="O40" s="3">
        <v>0.1</v>
      </c>
    </row>
    <row r="41" spans="2:15" x14ac:dyDescent="0.45">
      <c r="B41" s="3" t="s">
        <v>67</v>
      </c>
      <c r="C41" s="3">
        <v>12720.69</v>
      </c>
      <c r="D41" s="2">
        <v>11.62</v>
      </c>
      <c r="E41" s="3">
        <v>2</v>
      </c>
      <c r="F41" s="2">
        <v>13715.23</v>
      </c>
      <c r="G41" s="3">
        <v>0.21</v>
      </c>
      <c r="H41" s="2">
        <v>325</v>
      </c>
      <c r="I41" s="10">
        <v>342</v>
      </c>
      <c r="J41" s="10">
        <f t="shared" si="5"/>
        <v>667</v>
      </c>
      <c r="L41" s="3" t="s">
        <v>70</v>
      </c>
      <c r="M41" s="3">
        <v>5</v>
      </c>
      <c r="N41" s="3">
        <f>SUM(E108:E112)/M41</f>
        <v>1.4</v>
      </c>
      <c r="O41" s="3">
        <f>ROUND(SUM(G108:G112)/M41,1)</f>
        <v>0.3</v>
      </c>
    </row>
    <row r="42" spans="2:15" x14ac:dyDescent="0.45">
      <c r="B42" s="3" t="s">
        <v>69</v>
      </c>
      <c r="C42" s="3">
        <v>14109.6</v>
      </c>
      <c r="D42" s="2">
        <v>10.91</v>
      </c>
      <c r="E42" s="3">
        <v>2</v>
      </c>
      <c r="F42" s="2">
        <v>14329.82</v>
      </c>
      <c r="G42" s="3">
        <v>0.16</v>
      </c>
      <c r="H42" s="2">
        <v>354</v>
      </c>
      <c r="I42" s="10">
        <v>401</v>
      </c>
      <c r="J42" s="10">
        <f t="shared" si="5"/>
        <v>755</v>
      </c>
      <c r="L42" s="3" t="s">
        <v>72</v>
      </c>
      <c r="M42" s="3">
        <v>5</v>
      </c>
      <c r="N42" s="3">
        <f>SUM(E113:E117)/$M42</f>
        <v>4</v>
      </c>
      <c r="O42" s="3">
        <f>ROUND(SUM(G113:G117)/$M42,1)</f>
        <v>0.9</v>
      </c>
    </row>
    <row r="43" spans="2:15" x14ac:dyDescent="0.45">
      <c r="B43" s="3" t="s">
        <v>71</v>
      </c>
      <c r="C43" s="3">
        <v>5108.8599999999997</v>
      </c>
      <c r="D43" s="2">
        <v>0.14000000000000001</v>
      </c>
      <c r="E43" s="3">
        <v>0</v>
      </c>
      <c r="F43" s="2">
        <v>5108.8599999999997</v>
      </c>
      <c r="G43" s="3">
        <v>0</v>
      </c>
      <c r="H43" s="2">
        <v>24</v>
      </c>
      <c r="I43" s="10">
        <v>19</v>
      </c>
      <c r="J43" s="10">
        <f t="shared" si="5"/>
        <v>43</v>
      </c>
      <c r="L43" s="3" t="s">
        <v>74</v>
      </c>
      <c r="M43" s="3">
        <v>5</v>
      </c>
      <c r="N43" s="3">
        <f>SUM(E118:E122)/$M43</f>
        <v>36.6</v>
      </c>
      <c r="O43" s="3">
        <f>ROUND(SUM(G118:G122)/$M43,1)</f>
        <v>90.8</v>
      </c>
    </row>
    <row r="44" spans="2:15" x14ac:dyDescent="0.45">
      <c r="B44" s="3" t="s">
        <v>73</v>
      </c>
      <c r="C44" s="3">
        <v>4550.87</v>
      </c>
      <c r="D44" s="2">
        <v>0.28000000000000003</v>
      </c>
      <c r="E44" s="3">
        <v>0</v>
      </c>
      <c r="F44" s="2">
        <v>4550.87</v>
      </c>
      <c r="G44" s="3">
        <v>0</v>
      </c>
      <c r="H44" s="2">
        <v>58</v>
      </c>
      <c r="I44" s="10">
        <v>25</v>
      </c>
      <c r="J44" s="10">
        <f t="shared" si="5"/>
        <v>83</v>
      </c>
      <c r="L44" s="3" t="s">
        <v>76</v>
      </c>
      <c r="M44" s="3">
        <f>SUM(M32:M43)</f>
        <v>31</v>
      </c>
      <c r="N44" s="3"/>
      <c r="O44" s="3"/>
    </row>
    <row r="45" spans="2:15" x14ac:dyDescent="0.45">
      <c r="B45" s="3" t="s">
        <v>75</v>
      </c>
      <c r="C45" s="3">
        <v>5594.93</v>
      </c>
      <c r="D45" s="2">
        <v>0.16</v>
      </c>
      <c r="E45" s="3">
        <v>0</v>
      </c>
      <c r="F45" s="2">
        <v>5594.93</v>
      </c>
      <c r="G45" s="3">
        <v>0</v>
      </c>
      <c r="H45" s="2">
        <v>20</v>
      </c>
      <c r="I45" s="10">
        <v>19</v>
      </c>
      <c r="J45" s="10">
        <f t="shared" si="5"/>
        <v>39</v>
      </c>
      <c r="L45" s="3" t="s">
        <v>78</v>
      </c>
      <c r="M45" s="3">
        <v>5</v>
      </c>
      <c r="N45" s="3">
        <v>7</v>
      </c>
      <c r="O45" s="3">
        <v>3.3</v>
      </c>
    </row>
    <row r="46" spans="2:15" x14ac:dyDescent="0.45">
      <c r="B46" s="3" t="s">
        <v>77</v>
      </c>
      <c r="C46" s="3">
        <v>4232.79</v>
      </c>
      <c r="D46" s="2">
        <v>0.15</v>
      </c>
      <c r="E46" s="3">
        <v>0</v>
      </c>
      <c r="F46" s="2">
        <v>4232.79</v>
      </c>
      <c r="G46" s="3">
        <v>0</v>
      </c>
      <c r="H46" s="2">
        <v>34</v>
      </c>
      <c r="I46" s="10">
        <v>32</v>
      </c>
      <c r="J46" s="10">
        <f t="shared" si="5"/>
        <v>66</v>
      </c>
      <c r="L46" s="3" t="s">
        <v>80</v>
      </c>
      <c r="M46" s="3">
        <v>2</v>
      </c>
      <c r="N46" s="3">
        <v>1</v>
      </c>
      <c r="O46" s="3">
        <v>1.5</v>
      </c>
    </row>
    <row r="47" spans="2:15" x14ac:dyDescent="0.45">
      <c r="B47" s="3" t="s">
        <v>79</v>
      </c>
      <c r="C47" s="3">
        <v>4186.68</v>
      </c>
      <c r="D47" s="2">
        <v>0.24</v>
      </c>
      <c r="E47" s="3">
        <v>0</v>
      </c>
      <c r="F47" s="2">
        <v>4186.68</v>
      </c>
      <c r="G47" s="3">
        <v>0</v>
      </c>
      <c r="H47" s="2">
        <v>45</v>
      </c>
      <c r="I47" s="10">
        <v>24</v>
      </c>
      <c r="J47" s="10">
        <f t="shared" si="5"/>
        <v>69</v>
      </c>
      <c r="L47" s="3" t="s">
        <v>82</v>
      </c>
      <c r="M47" s="3">
        <v>3</v>
      </c>
      <c r="N47" s="3">
        <v>1</v>
      </c>
      <c r="O47" s="3">
        <v>0.1</v>
      </c>
    </row>
    <row r="48" spans="2:15" x14ac:dyDescent="0.45">
      <c r="B48" s="3" t="s">
        <v>81</v>
      </c>
      <c r="C48" s="3">
        <v>5466.67</v>
      </c>
      <c r="D48" s="2">
        <v>0.4</v>
      </c>
      <c r="E48" s="3">
        <v>0</v>
      </c>
      <c r="F48" s="2">
        <v>5466.67</v>
      </c>
      <c r="G48" s="3">
        <v>0</v>
      </c>
      <c r="H48" s="2">
        <v>88</v>
      </c>
      <c r="I48" s="10">
        <v>67</v>
      </c>
      <c r="J48" s="10">
        <f t="shared" si="5"/>
        <v>155</v>
      </c>
      <c r="L48" s="3" t="s">
        <v>76</v>
      </c>
      <c r="M48" s="3">
        <f>SUM(M45:M47)</f>
        <v>10</v>
      </c>
      <c r="N48" s="3"/>
      <c r="O48" s="3"/>
    </row>
    <row r="49" spans="2:21" x14ac:dyDescent="0.45">
      <c r="B49" s="3" t="s">
        <v>83</v>
      </c>
      <c r="C49" s="3">
        <v>7349.34</v>
      </c>
      <c r="D49" s="2">
        <v>0.32</v>
      </c>
      <c r="E49" s="3">
        <v>0</v>
      </c>
      <c r="F49" s="2">
        <v>7349.34</v>
      </c>
      <c r="G49" s="3">
        <v>0</v>
      </c>
      <c r="H49" s="2">
        <v>56</v>
      </c>
      <c r="I49" s="10">
        <v>56</v>
      </c>
      <c r="J49" s="10">
        <f t="shared" si="5"/>
        <v>112</v>
      </c>
    </row>
    <row r="50" spans="2:21" x14ac:dyDescent="0.45">
      <c r="B50" s="3" t="s">
        <v>84</v>
      </c>
      <c r="C50" s="3">
        <v>6471.1</v>
      </c>
      <c r="D50" s="2">
        <v>0.39</v>
      </c>
      <c r="E50" s="3">
        <v>0</v>
      </c>
      <c r="F50" s="2">
        <v>6471.1</v>
      </c>
      <c r="G50" s="3">
        <v>0</v>
      </c>
      <c r="H50" s="2">
        <v>40</v>
      </c>
      <c r="I50" s="10">
        <v>35</v>
      </c>
      <c r="J50" s="10">
        <f t="shared" si="5"/>
        <v>75</v>
      </c>
    </row>
    <row r="51" spans="2:21" x14ac:dyDescent="0.45">
      <c r="B51" s="3" t="s">
        <v>85</v>
      </c>
      <c r="C51" s="3">
        <v>7563.38</v>
      </c>
      <c r="D51" s="2">
        <v>0.23</v>
      </c>
      <c r="E51" s="3">
        <v>0</v>
      </c>
      <c r="F51" s="2">
        <v>7563.38</v>
      </c>
      <c r="G51" s="3">
        <v>0</v>
      </c>
      <c r="H51" s="2">
        <v>39</v>
      </c>
      <c r="I51" s="10">
        <v>46</v>
      </c>
      <c r="J51" s="10">
        <f t="shared" si="5"/>
        <v>85</v>
      </c>
    </row>
    <row r="52" spans="2:21" x14ac:dyDescent="0.45">
      <c r="B52" s="3" t="s">
        <v>86</v>
      </c>
      <c r="C52" s="3">
        <v>6279.57</v>
      </c>
      <c r="D52" s="2">
        <v>0.32</v>
      </c>
      <c r="E52" s="3">
        <v>0</v>
      </c>
      <c r="F52" s="2">
        <v>6279.57</v>
      </c>
      <c r="G52" s="3">
        <v>0</v>
      </c>
      <c r="H52" s="2">
        <v>55</v>
      </c>
      <c r="I52" s="10">
        <v>49</v>
      </c>
      <c r="J52" s="10">
        <f t="shared" si="5"/>
        <v>104</v>
      </c>
    </row>
    <row r="53" spans="2:21" x14ac:dyDescent="0.45">
      <c r="B53" s="3" t="s">
        <v>87</v>
      </c>
      <c r="C53" s="3">
        <v>8695.27</v>
      </c>
      <c r="D53" s="2">
        <v>0.6</v>
      </c>
      <c r="E53" s="3">
        <v>0</v>
      </c>
      <c r="F53" s="2">
        <v>8695.27</v>
      </c>
      <c r="G53" s="3">
        <v>0</v>
      </c>
      <c r="H53" s="2">
        <v>113</v>
      </c>
      <c r="I53" s="10">
        <v>123</v>
      </c>
      <c r="J53" s="10">
        <f t="shared" si="5"/>
        <v>236</v>
      </c>
    </row>
    <row r="54" spans="2:21" x14ac:dyDescent="0.45">
      <c r="B54" s="3" t="s">
        <v>88</v>
      </c>
      <c r="C54" s="3">
        <v>9812.6200000000008</v>
      </c>
      <c r="D54" s="2">
        <v>1.5</v>
      </c>
      <c r="E54" s="3">
        <v>0</v>
      </c>
      <c r="F54" s="2">
        <v>9812.6200000000008</v>
      </c>
      <c r="G54" s="3">
        <v>0</v>
      </c>
      <c r="H54" s="2">
        <v>266</v>
      </c>
      <c r="I54" s="10">
        <v>139</v>
      </c>
      <c r="J54" s="10">
        <f t="shared" si="5"/>
        <v>405</v>
      </c>
    </row>
    <row r="55" spans="2:21" x14ac:dyDescent="0.45">
      <c r="B55" s="3" t="s">
        <v>89</v>
      </c>
      <c r="C55" s="3">
        <v>9677.74</v>
      </c>
      <c r="D55" s="2">
        <v>1.25</v>
      </c>
      <c r="E55" s="3">
        <v>0</v>
      </c>
      <c r="F55" s="2">
        <v>9677.74</v>
      </c>
      <c r="G55" s="3">
        <v>0</v>
      </c>
      <c r="H55" s="2">
        <v>127</v>
      </c>
      <c r="I55" s="10">
        <v>129</v>
      </c>
      <c r="J55" s="10">
        <f t="shared" si="5"/>
        <v>256</v>
      </c>
      <c r="L55" s="15" t="s">
        <v>0</v>
      </c>
      <c r="M55" s="15" t="s">
        <v>188</v>
      </c>
      <c r="N55" s="15" t="s">
        <v>191</v>
      </c>
      <c r="O55" s="15" t="s">
        <v>189</v>
      </c>
      <c r="P55" t="s">
        <v>190</v>
      </c>
    </row>
    <row r="56" spans="2:21" x14ac:dyDescent="0.45">
      <c r="B56" s="3" t="s">
        <v>90</v>
      </c>
      <c r="C56" s="3">
        <v>7733.56</v>
      </c>
      <c r="D56" s="2">
        <v>0.76</v>
      </c>
      <c r="E56" s="3">
        <v>0</v>
      </c>
      <c r="F56" s="2">
        <v>7733.56</v>
      </c>
      <c r="G56" s="3">
        <v>0</v>
      </c>
      <c r="H56" s="2">
        <v>167</v>
      </c>
      <c r="I56" s="10">
        <v>152</v>
      </c>
      <c r="J56" s="10">
        <f t="shared" si="5"/>
        <v>319</v>
      </c>
      <c r="L56" s="15" t="str">
        <f>B98</f>
        <v>w_4_100_1</v>
      </c>
      <c r="M56" s="15">
        <f>ROUND(D98,1)</f>
        <v>18947.8</v>
      </c>
      <c r="N56" s="15">
        <f>E98</f>
        <v>13</v>
      </c>
      <c r="O56" s="15">
        <f>ROUND(G98,1)</f>
        <v>2432.9</v>
      </c>
      <c r="P56">
        <f>(M56)/3600</f>
        <v>5.2632777777777777</v>
      </c>
    </row>
    <row r="57" spans="2:21" x14ac:dyDescent="0.45">
      <c r="B57" s="3" t="s">
        <v>91</v>
      </c>
      <c r="C57" s="3">
        <v>8695.94</v>
      </c>
      <c r="D57" s="2">
        <v>0.92</v>
      </c>
      <c r="E57" s="3">
        <v>0</v>
      </c>
      <c r="F57" s="2">
        <v>8695.94</v>
      </c>
      <c r="G57" s="3">
        <v>0</v>
      </c>
      <c r="H57" s="2">
        <v>149</v>
      </c>
      <c r="I57" s="10">
        <v>138</v>
      </c>
      <c r="J57" s="10">
        <f t="shared" si="5"/>
        <v>287</v>
      </c>
      <c r="L57" s="15" t="str">
        <f>B99</f>
        <v>w_4_100_2</v>
      </c>
      <c r="M57" s="15">
        <f>ROUND(D99,1)</f>
        <v>45051.199999999997</v>
      </c>
      <c r="N57" s="15">
        <f>E99</f>
        <v>12</v>
      </c>
      <c r="O57" s="15">
        <f>ROUND(G99,1)</f>
        <v>19139.099999999999</v>
      </c>
      <c r="P57">
        <f>(M57)/3600</f>
        <v>12.514222222222221</v>
      </c>
    </row>
    <row r="58" spans="2:21" x14ac:dyDescent="0.45">
      <c r="B58" s="3" t="s">
        <v>92</v>
      </c>
      <c r="C58" s="3">
        <v>14515.76</v>
      </c>
      <c r="D58" s="2">
        <v>6.43</v>
      </c>
      <c r="E58" s="3">
        <v>0</v>
      </c>
      <c r="F58" s="2">
        <v>14515.76</v>
      </c>
      <c r="G58" s="3">
        <v>0</v>
      </c>
      <c r="H58" s="2">
        <v>1052</v>
      </c>
      <c r="I58" s="10">
        <v>991</v>
      </c>
      <c r="J58" s="10">
        <f t="shared" si="5"/>
        <v>2043</v>
      </c>
      <c r="L58" s="15" t="str">
        <f>B101</f>
        <v>w_4_100_4</v>
      </c>
      <c r="M58" s="15">
        <f>ROUND(D101,1)</f>
        <v>63257.3</v>
      </c>
      <c r="N58" s="15">
        <f>E101</f>
        <v>4</v>
      </c>
      <c r="O58" s="15">
        <f>ROUND(G101,1)</f>
        <v>523.70000000000005</v>
      </c>
      <c r="P58">
        <f>(M58)/3600</f>
        <v>17.571472222222223</v>
      </c>
    </row>
    <row r="59" spans="2:21" x14ac:dyDescent="0.45">
      <c r="B59" s="3" t="s">
        <v>93</v>
      </c>
      <c r="C59" s="3">
        <v>16366.69</v>
      </c>
      <c r="D59" s="2">
        <v>40.26</v>
      </c>
      <c r="E59" s="3">
        <v>0</v>
      </c>
      <c r="F59" s="2">
        <v>16366.69</v>
      </c>
      <c r="G59" s="3">
        <v>0</v>
      </c>
      <c r="H59" s="2">
        <v>4452</v>
      </c>
      <c r="I59" s="10">
        <v>1821</v>
      </c>
      <c r="J59" s="10">
        <f t="shared" si="5"/>
        <v>6273</v>
      </c>
      <c r="L59" s="15" t="str">
        <f>B102</f>
        <v>w_4_100_5</v>
      </c>
      <c r="M59" s="15">
        <f>ROUND(D102,1)</f>
        <v>36312.400000000001</v>
      </c>
      <c r="N59" s="15">
        <f>E102</f>
        <v>46</v>
      </c>
      <c r="O59" s="15">
        <f>ROUND(G102,1)</f>
        <v>4287.3999999999996</v>
      </c>
      <c r="P59">
        <f>(M59)/3600</f>
        <v>10.086777777777778</v>
      </c>
    </row>
    <row r="60" spans="2:21" x14ac:dyDescent="0.45">
      <c r="B60" s="3" t="s">
        <v>94</v>
      </c>
      <c r="C60" s="3">
        <v>16137.86</v>
      </c>
      <c r="D60" s="2">
        <v>7.36</v>
      </c>
      <c r="E60" s="3">
        <v>0</v>
      </c>
      <c r="F60" s="2">
        <v>16137.86</v>
      </c>
      <c r="G60" s="3">
        <v>0</v>
      </c>
      <c r="H60" s="2">
        <v>527</v>
      </c>
      <c r="I60" s="10">
        <v>685</v>
      </c>
      <c r="J60" s="10">
        <f t="shared" si="5"/>
        <v>1212</v>
      </c>
    </row>
    <row r="61" spans="2:21" x14ac:dyDescent="0.45">
      <c r="B61" s="3" t="s">
        <v>95</v>
      </c>
      <c r="C61" s="3">
        <v>14087.59</v>
      </c>
      <c r="D61" s="2">
        <v>16.48</v>
      </c>
      <c r="E61" s="3">
        <v>0</v>
      </c>
      <c r="F61" s="2">
        <v>14087.59</v>
      </c>
      <c r="G61" s="3">
        <v>0</v>
      </c>
      <c r="H61" s="2">
        <v>2323</v>
      </c>
      <c r="I61" s="10">
        <v>1185</v>
      </c>
      <c r="J61" s="10">
        <f t="shared" si="5"/>
        <v>3508</v>
      </c>
      <c r="L61" s="17" t="s">
        <v>132</v>
      </c>
    </row>
    <row r="62" spans="2:21" x14ac:dyDescent="0.45">
      <c r="B62" s="3" t="s">
        <v>96</v>
      </c>
      <c r="C62" s="3">
        <v>14967.32</v>
      </c>
      <c r="D62" s="2">
        <v>17.14</v>
      </c>
      <c r="E62" s="3">
        <v>0</v>
      </c>
      <c r="F62" s="2">
        <v>14967.32</v>
      </c>
      <c r="G62" s="3">
        <v>0</v>
      </c>
      <c r="H62" s="2">
        <v>1959</v>
      </c>
      <c r="I62" s="10">
        <v>1360</v>
      </c>
      <c r="J62" s="10">
        <f t="shared" si="5"/>
        <v>3319</v>
      </c>
      <c r="L62" s="15" t="s">
        <v>196</v>
      </c>
      <c r="M62" s="15">
        <v>2</v>
      </c>
      <c r="N62" s="15">
        <v>3</v>
      </c>
      <c r="O62" s="15">
        <v>4</v>
      </c>
      <c r="P62" s="15">
        <v>5</v>
      </c>
      <c r="Q62" s="15">
        <v>6</v>
      </c>
      <c r="R62" s="15">
        <v>7</v>
      </c>
      <c r="S62" s="15">
        <v>8</v>
      </c>
      <c r="T62" s="15">
        <v>9</v>
      </c>
      <c r="U62" s="15">
        <v>10</v>
      </c>
    </row>
    <row r="63" spans="2:21" x14ac:dyDescent="0.45">
      <c r="B63" s="3" t="s">
        <v>97</v>
      </c>
      <c r="C63" s="3">
        <v>4410.46</v>
      </c>
      <c r="D63" s="2">
        <v>0.1</v>
      </c>
      <c r="E63" s="3">
        <v>0</v>
      </c>
      <c r="F63" s="2">
        <v>4410.46</v>
      </c>
      <c r="G63" s="3">
        <v>0</v>
      </c>
      <c r="H63" s="2">
        <v>13</v>
      </c>
      <c r="I63" s="10">
        <v>9</v>
      </c>
      <c r="J63" s="10">
        <f t="shared" si="5"/>
        <v>22</v>
      </c>
      <c r="L63" s="15" t="s">
        <v>192</v>
      </c>
      <c r="M63" s="15">
        <v>48.02</v>
      </c>
      <c r="N63" s="15">
        <v>34.32</v>
      </c>
      <c r="O63" s="15">
        <v>23.53</v>
      </c>
      <c r="P63" s="15">
        <v>13.87</v>
      </c>
      <c r="Q63" s="15">
        <v>6.17</v>
      </c>
      <c r="R63" s="15">
        <v>0.27</v>
      </c>
      <c r="S63" s="15">
        <v>0.15</v>
      </c>
      <c r="T63" s="15">
        <v>0</v>
      </c>
      <c r="U63" s="15">
        <v>0</v>
      </c>
    </row>
    <row r="64" spans="2:21" x14ac:dyDescent="0.45">
      <c r="B64" s="3" t="s">
        <v>98</v>
      </c>
      <c r="C64" s="3">
        <v>4223.51</v>
      </c>
      <c r="D64" s="2">
        <v>0.14000000000000001</v>
      </c>
      <c r="E64" s="3">
        <v>0</v>
      </c>
      <c r="F64" s="2">
        <v>4223.51</v>
      </c>
      <c r="G64" s="3">
        <v>0</v>
      </c>
      <c r="H64" s="2">
        <v>11</v>
      </c>
      <c r="I64" s="10">
        <v>5</v>
      </c>
      <c r="J64" s="10">
        <f t="shared" si="5"/>
        <v>16</v>
      </c>
      <c r="L64" s="15" t="s">
        <v>193</v>
      </c>
      <c r="M64" s="15">
        <v>1.08</v>
      </c>
      <c r="N64" s="15">
        <v>55.35</v>
      </c>
      <c r="O64" s="15">
        <v>448.02</v>
      </c>
      <c r="P64" s="15">
        <v>2205.4299999999998</v>
      </c>
      <c r="Q64" s="15">
        <v>6113.73</v>
      </c>
      <c r="R64" s="15">
        <v>7211.83</v>
      </c>
      <c r="S64" s="15">
        <v>2656.97</v>
      </c>
      <c r="T64" s="15">
        <v>249.15</v>
      </c>
      <c r="U64" s="15">
        <v>6.23</v>
      </c>
    </row>
    <row r="65" spans="2:25" x14ac:dyDescent="0.45">
      <c r="B65" s="3" t="s">
        <v>99</v>
      </c>
      <c r="C65" s="3">
        <v>4119.59</v>
      </c>
      <c r="D65" s="2">
        <v>0.27</v>
      </c>
      <c r="E65" s="3">
        <v>0</v>
      </c>
      <c r="F65" s="2">
        <v>4119.59</v>
      </c>
      <c r="G65" s="3">
        <v>0</v>
      </c>
      <c r="H65" s="2">
        <v>23</v>
      </c>
      <c r="I65" s="10">
        <v>16</v>
      </c>
      <c r="J65" s="10">
        <f t="shared" si="5"/>
        <v>39</v>
      </c>
      <c r="L65" s="15" t="s">
        <v>194</v>
      </c>
      <c r="M65" s="15">
        <f>SUM(M64)</f>
        <v>1.08</v>
      </c>
      <c r="N65" s="15">
        <f>SUM($M$64:N64)</f>
        <v>56.43</v>
      </c>
      <c r="O65" s="15">
        <f>SUM($M$64:O64)</f>
        <v>504.45</v>
      </c>
      <c r="P65" s="15">
        <f>SUM($M$64:P64)</f>
        <v>2709.8799999999997</v>
      </c>
      <c r="Q65" s="15">
        <f>SUM($M$64:Q64)</f>
        <v>8823.6099999999988</v>
      </c>
      <c r="R65" s="15">
        <f>SUM($M$64:R64)</f>
        <v>16035.439999999999</v>
      </c>
      <c r="S65" s="15">
        <f>SUM($M$64:S64)</f>
        <v>18692.41</v>
      </c>
      <c r="T65" s="15">
        <f>SUM($M$64:T64)</f>
        <v>18941.560000000001</v>
      </c>
      <c r="U65" s="15">
        <f>SUM($M$64:U64)</f>
        <v>18947.79</v>
      </c>
      <c r="V65" s="18"/>
    </row>
    <row r="66" spans="2:25" x14ac:dyDescent="0.45">
      <c r="B66" s="3" t="s">
        <v>100</v>
      </c>
      <c r="C66" s="3">
        <v>4340.3</v>
      </c>
      <c r="D66" s="2">
        <v>0.12</v>
      </c>
      <c r="E66" s="3">
        <v>0</v>
      </c>
      <c r="F66" s="2">
        <v>4340.3</v>
      </c>
      <c r="G66" s="3">
        <v>0</v>
      </c>
      <c r="H66" s="2">
        <v>10</v>
      </c>
      <c r="I66" s="10">
        <v>11</v>
      </c>
      <c r="J66" s="10">
        <f t="shared" si="5"/>
        <v>21</v>
      </c>
    </row>
    <row r="67" spans="2:25" x14ac:dyDescent="0.45">
      <c r="B67" s="3" t="s">
        <v>101</v>
      </c>
      <c r="C67" s="3">
        <v>6136.95</v>
      </c>
      <c r="D67" s="2">
        <v>0.11</v>
      </c>
      <c r="E67" s="3">
        <v>0</v>
      </c>
      <c r="F67" s="2">
        <v>6136.95</v>
      </c>
      <c r="G67" s="3">
        <v>0</v>
      </c>
      <c r="H67" s="2">
        <v>10</v>
      </c>
      <c r="I67" s="10">
        <v>11</v>
      </c>
      <c r="J67" s="10">
        <f t="shared" ref="J67:J98" si="6">H67+I67</f>
        <v>21</v>
      </c>
      <c r="L67" s="17" t="s">
        <v>133</v>
      </c>
    </row>
    <row r="68" spans="2:25" x14ac:dyDescent="0.45">
      <c r="B68" s="3" t="s">
        <v>102</v>
      </c>
      <c r="C68" s="3">
        <v>6083.33</v>
      </c>
      <c r="D68" s="2">
        <v>0.13</v>
      </c>
      <c r="E68" s="3">
        <v>0</v>
      </c>
      <c r="F68" s="2">
        <v>6083.33</v>
      </c>
      <c r="G68" s="3">
        <v>0</v>
      </c>
      <c r="H68" s="2">
        <v>8</v>
      </c>
      <c r="I68" s="10">
        <v>20</v>
      </c>
      <c r="J68" s="10">
        <f t="shared" si="6"/>
        <v>28</v>
      </c>
      <c r="L68" s="15" t="s">
        <v>196</v>
      </c>
      <c r="M68" s="15">
        <v>2</v>
      </c>
      <c r="N68" s="15">
        <v>3</v>
      </c>
      <c r="O68" s="15">
        <v>4</v>
      </c>
      <c r="P68" s="15">
        <v>5</v>
      </c>
      <c r="Q68" s="15">
        <v>6</v>
      </c>
      <c r="R68" s="15">
        <v>7</v>
      </c>
      <c r="S68" s="15">
        <v>8</v>
      </c>
      <c r="T68" s="15">
        <v>9</v>
      </c>
      <c r="U68" s="15">
        <v>10</v>
      </c>
      <c r="V68" s="15">
        <v>11</v>
      </c>
      <c r="W68" s="15">
        <v>12</v>
      </c>
    </row>
    <row r="69" spans="2:25" x14ac:dyDescent="0.45">
      <c r="B69" s="3" t="s">
        <v>103</v>
      </c>
      <c r="C69" s="3">
        <v>6623.03</v>
      </c>
      <c r="D69" s="2">
        <v>0.26</v>
      </c>
      <c r="E69" s="3">
        <v>1</v>
      </c>
      <c r="F69" s="2">
        <v>7059.9</v>
      </c>
      <c r="G69" s="3">
        <v>0.01</v>
      </c>
      <c r="H69" s="2">
        <v>13</v>
      </c>
      <c r="I69" s="10">
        <v>16</v>
      </c>
      <c r="J69" s="10">
        <f t="shared" si="6"/>
        <v>29</v>
      </c>
      <c r="L69" s="15" t="s">
        <v>192</v>
      </c>
      <c r="M69" s="15">
        <v>43.88</v>
      </c>
      <c r="N69" s="15">
        <v>29.05</v>
      </c>
      <c r="O69" s="15">
        <v>17.34</v>
      </c>
      <c r="P69" s="15">
        <v>8.43</v>
      </c>
      <c r="Q69" s="15">
        <v>2.21</v>
      </c>
      <c r="R69" s="15">
        <v>1.18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</row>
    <row r="70" spans="2:25" x14ac:dyDescent="0.45">
      <c r="B70" s="3" t="s">
        <v>104</v>
      </c>
      <c r="C70" s="3">
        <v>6187.48</v>
      </c>
      <c r="D70" s="2">
        <v>0.25</v>
      </c>
      <c r="E70" s="3">
        <v>0</v>
      </c>
      <c r="F70" s="2">
        <v>6187.48</v>
      </c>
      <c r="G70" s="3">
        <v>0</v>
      </c>
      <c r="H70" s="2">
        <v>23</v>
      </c>
      <c r="I70" s="10">
        <v>29</v>
      </c>
      <c r="J70" s="10">
        <f t="shared" si="6"/>
        <v>52</v>
      </c>
      <c r="L70" s="15" t="s">
        <v>193</v>
      </c>
      <c r="M70" s="15">
        <v>1.18</v>
      </c>
      <c r="N70" s="15">
        <v>53.56</v>
      </c>
      <c r="O70" s="15">
        <v>416.41</v>
      </c>
      <c r="P70" s="15">
        <v>1779.65</v>
      </c>
      <c r="Q70" s="15">
        <v>5573.93</v>
      </c>
      <c r="R70" s="15">
        <v>11835.94</v>
      </c>
      <c r="S70" s="15">
        <v>15138.47</v>
      </c>
      <c r="T70" s="18">
        <v>7981.57</v>
      </c>
      <c r="U70" s="15">
        <v>2044.7</v>
      </c>
      <c r="V70" s="15">
        <v>209.49</v>
      </c>
      <c r="W70" s="15">
        <v>16.29</v>
      </c>
    </row>
    <row r="71" spans="2:25" x14ac:dyDescent="0.45">
      <c r="B71" s="3" t="s">
        <v>105</v>
      </c>
      <c r="C71" s="3">
        <v>6343.26</v>
      </c>
      <c r="D71" s="2">
        <v>0.15</v>
      </c>
      <c r="E71" s="3">
        <v>0</v>
      </c>
      <c r="F71" s="2">
        <v>6343.26</v>
      </c>
      <c r="G71" s="3">
        <v>0</v>
      </c>
      <c r="H71" s="2">
        <v>13</v>
      </c>
      <c r="I71" s="10">
        <v>15</v>
      </c>
      <c r="J71" s="10">
        <f t="shared" si="6"/>
        <v>28</v>
      </c>
      <c r="L71" s="15" t="s">
        <v>194</v>
      </c>
      <c r="M71" s="15">
        <f>M70</f>
        <v>1.18</v>
      </c>
      <c r="N71" s="15">
        <f>SUM($M70:N70)</f>
        <v>54.74</v>
      </c>
      <c r="O71" s="15">
        <f>SUM($M70:O70)</f>
        <v>471.15000000000003</v>
      </c>
      <c r="P71" s="15">
        <f>SUM($M70:P70)</f>
        <v>2250.8000000000002</v>
      </c>
      <c r="Q71" s="15">
        <f>SUM($M70:Q70)</f>
        <v>7824.7300000000005</v>
      </c>
      <c r="R71" s="15">
        <f>SUM($M70:R70)</f>
        <v>19660.670000000002</v>
      </c>
      <c r="S71" s="15">
        <f>SUM($M70:S70)</f>
        <v>34799.14</v>
      </c>
      <c r="T71" s="15">
        <f>SUM($M70:U70)</f>
        <v>44825.409999999996</v>
      </c>
      <c r="U71" s="15">
        <f>SUM($M70:V70)</f>
        <v>45034.899999999994</v>
      </c>
      <c r="V71" s="15">
        <f>SUM($M70:V70)</f>
        <v>45034.899999999994</v>
      </c>
      <c r="W71" s="15">
        <f>SUM($M70:W70)</f>
        <v>45051.189999999995</v>
      </c>
      <c r="X71" s="18"/>
    </row>
    <row r="72" spans="2:25" x14ac:dyDescent="0.45">
      <c r="B72" s="3" t="s">
        <v>106</v>
      </c>
      <c r="C72" s="3">
        <v>6408.99</v>
      </c>
      <c r="D72" s="2">
        <v>0.23</v>
      </c>
      <c r="E72" s="3">
        <v>0</v>
      </c>
      <c r="F72" s="2">
        <v>6408.99</v>
      </c>
      <c r="G72" s="3">
        <v>0</v>
      </c>
      <c r="H72" s="2">
        <v>20</v>
      </c>
      <c r="I72" s="10">
        <v>21</v>
      </c>
      <c r="J72" s="10">
        <f t="shared" si="6"/>
        <v>41</v>
      </c>
    </row>
    <row r="73" spans="2:25" x14ac:dyDescent="0.45">
      <c r="B73" s="3" t="s">
        <v>107</v>
      </c>
      <c r="C73" s="3">
        <v>7631.97</v>
      </c>
      <c r="D73" s="2">
        <v>0.24</v>
      </c>
      <c r="E73" s="3">
        <v>0</v>
      </c>
      <c r="F73" s="2">
        <v>7631.97</v>
      </c>
      <c r="G73" s="3">
        <v>0</v>
      </c>
      <c r="H73" s="2">
        <v>21</v>
      </c>
      <c r="I73" s="10">
        <v>36</v>
      </c>
      <c r="J73" s="10">
        <f t="shared" si="6"/>
        <v>57</v>
      </c>
    </row>
    <row r="74" spans="2:25" x14ac:dyDescent="0.45">
      <c r="B74" s="3" t="s">
        <v>108</v>
      </c>
      <c r="C74" s="3">
        <v>9206.34</v>
      </c>
      <c r="D74" s="2">
        <v>0.37</v>
      </c>
      <c r="E74" s="3">
        <v>0</v>
      </c>
      <c r="F74" s="2">
        <v>9206.34</v>
      </c>
      <c r="G74" s="3">
        <v>0</v>
      </c>
      <c r="H74" s="2">
        <v>27</v>
      </c>
      <c r="I74" s="10">
        <v>33</v>
      </c>
      <c r="J74" s="10">
        <f t="shared" si="6"/>
        <v>60</v>
      </c>
      <c r="L74" s="17" t="s">
        <v>135</v>
      </c>
    </row>
    <row r="75" spans="2:25" x14ac:dyDescent="0.45">
      <c r="B75" s="3" t="s">
        <v>109</v>
      </c>
      <c r="C75" s="3">
        <v>8594.07</v>
      </c>
      <c r="D75" s="2">
        <v>0.7</v>
      </c>
      <c r="E75" s="3">
        <v>0</v>
      </c>
      <c r="F75" s="2">
        <v>8594.07</v>
      </c>
      <c r="G75" s="3">
        <v>0</v>
      </c>
      <c r="H75" s="2">
        <v>50</v>
      </c>
      <c r="I75" s="10">
        <v>58</v>
      </c>
      <c r="J75" s="10">
        <f t="shared" si="6"/>
        <v>108</v>
      </c>
      <c r="L75" s="15" t="s">
        <v>196</v>
      </c>
      <c r="M75" s="15">
        <v>2</v>
      </c>
      <c r="N75" s="15">
        <v>3</v>
      </c>
      <c r="O75" s="15">
        <v>4</v>
      </c>
      <c r="P75" s="15">
        <v>5</v>
      </c>
      <c r="Q75" s="15">
        <v>6</v>
      </c>
      <c r="R75" s="15">
        <v>7</v>
      </c>
      <c r="S75" s="15">
        <v>8</v>
      </c>
      <c r="T75" s="15">
        <v>9</v>
      </c>
      <c r="U75" s="15">
        <v>10</v>
      </c>
      <c r="V75" s="15">
        <v>11</v>
      </c>
      <c r="W75" s="15">
        <v>12</v>
      </c>
      <c r="X75" s="15">
        <v>13</v>
      </c>
    </row>
    <row r="76" spans="2:25" x14ac:dyDescent="0.45">
      <c r="B76" s="3" t="s">
        <v>110</v>
      </c>
      <c r="C76" s="3">
        <v>7974.34</v>
      </c>
      <c r="D76" s="2">
        <v>0.26</v>
      </c>
      <c r="E76" s="3">
        <v>0</v>
      </c>
      <c r="F76" s="2">
        <v>7974.34</v>
      </c>
      <c r="G76" s="3">
        <v>0</v>
      </c>
      <c r="H76" s="2">
        <v>17</v>
      </c>
      <c r="I76" s="10">
        <v>38</v>
      </c>
      <c r="J76" s="10">
        <f t="shared" si="6"/>
        <v>55</v>
      </c>
      <c r="L76" s="15" t="s">
        <v>192</v>
      </c>
      <c r="M76" s="15">
        <v>46.5</v>
      </c>
      <c r="N76" s="15">
        <v>31.54</v>
      </c>
      <c r="O76" s="15">
        <v>20.29</v>
      </c>
      <c r="P76" s="15">
        <v>11.04</v>
      </c>
      <c r="Q76" s="15">
        <v>5.17</v>
      </c>
      <c r="R76" s="15">
        <v>1.8</v>
      </c>
      <c r="S76" s="15">
        <v>0.52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</row>
    <row r="77" spans="2:25" x14ac:dyDescent="0.45">
      <c r="B77" s="3" t="s">
        <v>111</v>
      </c>
      <c r="C77" s="3">
        <v>9201.65</v>
      </c>
      <c r="D77" s="2">
        <v>0.49</v>
      </c>
      <c r="E77" s="3">
        <v>1</v>
      </c>
      <c r="F77" s="2">
        <v>9223.7099999999991</v>
      </c>
      <c r="G77" s="3">
        <v>0.02</v>
      </c>
      <c r="H77" s="2">
        <v>42</v>
      </c>
      <c r="I77" s="10">
        <v>56</v>
      </c>
      <c r="J77" s="10">
        <f t="shared" si="6"/>
        <v>98</v>
      </c>
      <c r="L77" s="15" t="s">
        <v>193</v>
      </c>
      <c r="M77" s="15">
        <v>0.94</v>
      </c>
      <c r="N77" s="15">
        <v>52.98</v>
      </c>
      <c r="O77" s="15">
        <v>426.2</v>
      </c>
      <c r="P77" s="15">
        <v>2053.8000000000002</v>
      </c>
      <c r="Q77" s="15">
        <v>6489.41</v>
      </c>
      <c r="R77" s="15">
        <v>14272.85</v>
      </c>
      <c r="S77" s="15">
        <v>19711.66</v>
      </c>
      <c r="T77" s="15">
        <v>14108.54</v>
      </c>
      <c r="U77" s="15">
        <v>5182.79</v>
      </c>
      <c r="V77" s="15">
        <v>890.53</v>
      </c>
      <c r="W77" s="15">
        <v>65.75</v>
      </c>
      <c r="X77" s="15">
        <v>1.83</v>
      </c>
    </row>
    <row r="78" spans="2:25" x14ac:dyDescent="0.45">
      <c r="B78" s="3" t="s">
        <v>112</v>
      </c>
      <c r="C78" s="3">
        <v>15832.66</v>
      </c>
      <c r="D78" s="2">
        <v>1.35</v>
      </c>
      <c r="E78" s="3">
        <v>0</v>
      </c>
      <c r="F78" s="2">
        <v>15832.66</v>
      </c>
      <c r="G78" s="3">
        <v>0</v>
      </c>
      <c r="H78" s="2">
        <v>121</v>
      </c>
      <c r="I78" s="10">
        <v>210</v>
      </c>
      <c r="J78" s="10">
        <f t="shared" si="6"/>
        <v>331</v>
      </c>
      <c r="L78" s="15" t="s">
        <v>194</v>
      </c>
      <c r="M78" s="15">
        <f>M77</f>
        <v>0.94</v>
      </c>
      <c r="N78" s="15">
        <f>SUM($M77:N77)</f>
        <v>53.919999999999995</v>
      </c>
      <c r="O78" s="15">
        <f>SUM($M77:O77)</f>
        <v>480.12</v>
      </c>
      <c r="P78" s="15">
        <f>SUM($M77:P77)</f>
        <v>2533.92</v>
      </c>
      <c r="Q78" s="15">
        <f>SUM($M77:Q77)</f>
        <v>9023.33</v>
      </c>
      <c r="R78" s="15">
        <f>SUM($M77:R77)</f>
        <v>23296.18</v>
      </c>
      <c r="S78" s="15">
        <f>SUM($M77:S77)</f>
        <v>43007.839999999997</v>
      </c>
      <c r="T78" s="15">
        <f>SUM($M77:T77)</f>
        <v>57116.38</v>
      </c>
      <c r="U78" s="15">
        <f>SUM($M77:U77)</f>
        <v>62299.17</v>
      </c>
      <c r="V78" s="15">
        <f>SUM($M77:V77)</f>
        <v>63189.7</v>
      </c>
      <c r="W78" s="15">
        <f>SUM($M77:W77)</f>
        <v>63255.45</v>
      </c>
      <c r="X78" s="15">
        <f>SUM($M77:X77)</f>
        <v>63257.279999999999</v>
      </c>
      <c r="Y78" s="18"/>
    </row>
    <row r="79" spans="2:25" x14ac:dyDescent="0.45">
      <c r="B79" s="3" t="s">
        <v>113</v>
      </c>
      <c r="C79" s="3">
        <v>16683.82</v>
      </c>
      <c r="D79" s="2">
        <v>1.6</v>
      </c>
      <c r="E79" s="3">
        <v>0</v>
      </c>
      <c r="F79" s="2">
        <v>16683.82</v>
      </c>
      <c r="G79" s="3">
        <v>0</v>
      </c>
      <c r="H79" s="2">
        <v>83</v>
      </c>
      <c r="I79" s="10">
        <v>145</v>
      </c>
      <c r="J79" s="10">
        <f t="shared" si="6"/>
        <v>228</v>
      </c>
    </row>
    <row r="80" spans="2:25" x14ac:dyDescent="0.45">
      <c r="B80" s="3" t="s">
        <v>114</v>
      </c>
      <c r="C80" s="3">
        <v>18761.400000000001</v>
      </c>
      <c r="D80" s="2">
        <v>2.11</v>
      </c>
      <c r="E80" s="3">
        <v>0</v>
      </c>
      <c r="F80" s="2">
        <v>18761.400000000001</v>
      </c>
      <c r="G80" s="3">
        <v>0</v>
      </c>
      <c r="H80" s="2">
        <v>90</v>
      </c>
      <c r="I80" s="10">
        <v>211</v>
      </c>
      <c r="J80" s="10">
        <f t="shared" si="6"/>
        <v>301</v>
      </c>
      <c r="L80" s="17" t="s">
        <v>136</v>
      </c>
    </row>
    <row r="81" spans="2:24" x14ac:dyDescent="0.45">
      <c r="B81" s="3" t="s">
        <v>115</v>
      </c>
      <c r="C81" s="3">
        <v>16057.05</v>
      </c>
      <c r="D81" s="2">
        <v>1.18</v>
      </c>
      <c r="E81" s="3">
        <v>0</v>
      </c>
      <c r="F81" s="2">
        <v>16057.05</v>
      </c>
      <c r="G81" s="3">
        <v>0</v>
      </c>
      <c r="H81" s="2">
        <v>85</v>
      </c>
      <c r="I81" s="10">
        <v>210</v>
      </c>
      <c r="J81" s="10">
        <f t="shared" si="6"/>
        <v>295</v>
      </c>
      <c r="L81" s="15" t="s">
        <v>196</v>
      </c>
      <c r="M81" s="15">
        <v>2</v>
      </c>
      <c r="N81" s="15">
        <v>3</v>
      </c>
      <c r="O81" s="15">
        <v>4</v>
      </c>
      <c r="P81" s="15">
        <v>5</v>
      </c>
      <c r="Q81" s="15">
        <v>6</v>
      </c>
      <c r="R81" s="15">
        <v>7</v>
      </c>
      <c r="S81" s="15">
        <v>8</v>
      </c>
      <c r="T81" s="15">
        <v>9</v>
      </c>
      <c r="U81" s="15">
        <v>10</v>
      </c>
      <c r="V81" s="15">
        <v>11</v>
      </c>
      <c r="W81" s="15">
        <v>12</v>
      </c>
    </row>
    <row r="82" spans="2:24" x14ac:dyDescent="0.45">
      <c r="B82" s="3" t="s">
        <v>116</v>
      </c>
      <c r="C82" s="3">
        <v>17136.07</v>
      </c>
      <c r="D82" s="2">
        <v>1.78</v>
      </c>
      <c r="E82" s="3">
        <v>1</v>
      </c>
      <c r="F82" s="2">
        <v>17158.13</v>
      </c>
      <c r="G82" s="3">
        <v>0.02</v>
      </c>
      <c r="H82" s="2">
        <v>123</v>
      </c>
      <c r="I82" s="10">
        <v>243</v>
      </c>
      <c r="J82" s="10">
        <f t="shared" si="6"/>
        <v>366</v>
      </c>
      <c r="L82" s="15" t="s">
        <v>192</v>
      </c>
      <c r="M82" s="15">
        <v>49.11</v>
      </c>
      <c r="N82" s="15">
        <v>34.159999999999997</v>
      </c>
      <c r="O82" s="15">
        <v>24.01</v>
      </c>
      <c r="P82" s="15">
        <v>14.53</v>
      </c>
      <c r="Q82" s="15">
        <v>7.11</v>
      </c>
      <c r="R82" s="15">
        <v>2.68</v>
      </c>
      <c r="S82" s="15">
        <v>1.51</v>
      </c>
      <c r="T82" s="15">
        <v>0.28000000000000003</v>
      </c>
      <c r="U82" s="15">
        <v>0</v>
      </c>
      <c r="V82" s="15">
        <v>0</v>
      </c>
      <c r="W82" s="15">
        <v>0</v>
      </c>
    </row>
    <row r="83" spans="2:24" x14ac:dyDescent="0.45">
      <c r="B83" s="3" t="s">
        <v>117</v>
      </c>
      <c r="C83" s="3">
        <v>3979.5</v>
      </c>
      <c r="D83" s="2">
        <v>0.89</v>
      </c>
      <c r="E83" s="3">
        <v>0</v>
      </c>
      <c r="F83" s="2">
        <v>3979.5</v>
      </c>
      <c r="G83" s="3">
        <v>0</v>
      </c>
      <c r="H83" s="2">
        <v>116</v>
      </c>
      <c r="I83" s="10">
        <v>29</v>
      </c>
      <c r="J83" s="10">
        <f t="shared" si="6"/>
        <v>145</v>
      </c>
      <c r="L83" s="15" t="s">
        <v>193</v>
      </c>
      <c r="M83" s="15">
        <v>1.18</v>
      </c>
      <c r="N83" s="15">
        <v>46.7</v>
      </c>
      <c r="O83" s="15">
        <v>362.92</v>
      </c>
      <c r="P83" s="15">
        <v>1723.4</v>
      </c>
      <c r="Q83" s="15">
        <v>5380.44</v>
      </c>
      <c r="R83" s="15">
        <v>10364.43</v>
      </c>
      <c r="S83" s="15">
        <v>11735.63</v>
      </c>
      <c r="T83" s="15">
        <v>5643.63</v>
      </c>
      <c r="U83" s="15">
        <v>985.97</v>
      </c>
      <c r="V83" s="15">
        <v>66.489999999999995</v>
      </c>
      <c r="W83" s="15">
        <v>1.58</v>
      </c>
    </row>
    <row r="84" spans="2:24" x14ac:dyDescent="0.45">
      <c r="B84" s="3" t="s">
        <v>118</v>
      </c>
      <c r="C84" s="3">
        <v>3101.33</v>
      </c>
      <c r="D84" s="2">
        <v>3.24</v>
      </c>
      <c r="E84" s="3">
        <v>0</v>
      </c>
      <c r="F84" s="2">
        <v>3101.33</v>
      </c>
      <c r="G84" s="3">
        <v>0</v>
      </c>
      <c r="H84" s="2">
        <v>313</v>
      </c>
      <c r="I84" s="10">
        <v>41</v>
      </c>
      <c r="J84" s="10">
        <f t="shared" si="6"/>
        <v>354</v>
      </c>
      <c r="L84" s="15" t="s">
        <v>194</v>
      </c>
      <c r="M84" s="15">
        <f>M83</f>
        <v>1.18</v>
      </c>
      <c r="N84" s="15">
        <f>SUM($M83:N83)</f>
        <v>47.88</v>
      </c>
      <c r="O84" s="15">
        <f>SUM($M83:O83)</f>
        <v>410.8</v>
      </c>
      <c r="P84" s="15">
        <f>SUM($M83:P83)</f>
        <v>2134.2000000000003</v>
      </c>
      <c r="Q84" s="15">
        <f>SUM($M83:Q83)</f>
        <v>7514.6399999999994</v>
      </c>
      <c r="R84" s="15">
        <f>SUM($M83:R83)</f>
        <v>17879.07</v>
      </c>
      <c r="S84" s="15">
        <f>SUM($M83:S83)</f>
        <v>29614.699999999997</v>
      </c>
      <c r="T84" s="15">
        <f>SUM($M83:T83)</f>
        <v>35258.329999999994</v>
      </c>
      <c r="U84" s="15">
        <f>SUM($M83:U83)</f>
        <v>36244.299999999996</v>
      </c>
      <c r="V84" s="15">
        <f>SUM($M83:V83)</f>
        <v>36310.789999999994</v>
      </c>
      <c r="W84" s="15">
        <f>SUM($M83:W83)</f>
        <v>36312.369999999995</v>
      </c>
      <c r="X84" s="18"/>
    </row>
    <row r="85" spans="2:24" x14ac:dyDescent="0.45">
      <c r="B85" s="3" t="s">
        <v>119</v>
      </c>
      <c r="C85" s="3">
        <v>3152.73</v>
      </c>
      <c r="D85" s="2">
        <v>1.21</v>
      </c>
      <c r="E85" s="3">
        <v>0</v>
      </c>
      <c r="F85" s="2">
        <v>3152.73</v>
      </c>
      <c r="G85" s="3">
        <v>0</v>
      </c>
      <c r="H85" s="2">
        <v>121</v>
      </c>
      <c r="I85" s="10">
        <v>22</v>
      </c>
      <c r="J85" s="10">
        <f t="shared" si="6"/>
        <v>143</v>
      </c>
    </row>
    <row r="86" spans="2:24" x14ac:dyDescent="0.45">
      <c r="B86" s="3" t="s">
        <v>120</v>
      </c>
      <c r="C86" s="3">
        <v>2624.49</v>
      </c>
      <c r="D86" s="2">
        <v>3.72</v>
      </c>
      <c r="E86" s="3">
        <v>0</v>
      </c>
      <c r="F86" s="2">
        <v>2624.49</v>
      </c>
      <c r="G86" s="3">
        <v>0</v>
      </c>
      <c r="H86" s="2">
        <v>416</v>
      </c>
      <c r="I86" s="10">
        <v>24</v>
      </c>
      <c r="J86" s="10">
        <f t="shared" si="6"/>
        <v>440</v>
      </c>
    </row>
    <row r="87" spans="2:24" x14ac:dyDescent="0.45">
      <c r="B87" s="3" t="s">
        <v>121</v>
      </c>
      <c r="C87" s="3">
        <v>2541.46</v>
      </c>
      <c r="D87" s="2">
        <v>3.83</v>
      </c>
      <c r="E87" s="3">
        <v>0</v>
      </c>
      <c r="F87" s="2">
        <v>2541.46</v>
      </c>
      <c r="G87" s="3">
        <v>0</v>
      </c>
      <c r="H87" s="2">
        <v>318</v>
      </c>
      <c r="I87" s="10">
        <v>49</v>
      </c>
      <c r="J87" s="10">
        <f t="shared" si="6"/>
        <v>367</v>
      </c>
    </row>
    <row r="88" spans="2:24" x14ac:dyDescent="0.45">
      <c r="B88" s="3" t="s">
        <v>122</v>
      </c>
      <c r="C88" s="3">
        <v>3852.25</v>
      </c>
      <c r="D88" s="2">
        <v>9.81</v>
      </c>
      <c r="E88" s="3">
        <v>0</v>
      </c>
      <c r="F88" s="2">
        <v>3852.25</v>
      </c>
      <c r="G88" s="3">
        <v>0</v>
      </c>
      <c r="H88" s="2">
        <v>1639</v>
      </c>
      <c r="I88" s="10">
        <v>412</v>
      </c>
      <c r="J88" s="10">
        <f t="shared" si="6"/>
        <v>2051</v>
      </c>
    </row>
    <row r="89" spans="2:24" x14ac:dyDescent="0.45">
      <c r="B89" s="3" t="s">
        <v>123</v>
      </c>
      <c r="C89" s="3">
        <v>3147.04</v>
      </c>
      <c r="D89" s="2">
        <v>14.17</v>
      </c>
      <c r="E89" s="3">
        <v>0</v>
      </c>
      <c r="F89" s="2">
        <v>3147.04</v>
      </c>
      <c r="G89" s="3">
        <v>0</v>
      </c>
      <c r="H89" s="2">
        <v>2807</v>
      </c>
      <c r="I89" s="10">
        <v>449</v>
      </c>
      <c r="J89" s="10">
        <f t="shared" si="6"/>
        <v>3256</v>
      </c>
    </row>
    <row r="90" spans="2:24" x14ac:dyDescent="0.45">
      <c r="B90" s="3" t="s">
        <v>124</v>
      </c>
      <c r="C90" s="3">
        <v>4027.81</v>
      </c>
      <c r="D90" s="2">
        <v>11.81</v>
      </c>
      <c r="E90" s="3">
        <v>0</v>
      </c>
      <c r="F90" s="2">
        <v>4027.81</v>
      </c>
      <c r="G90" s="3">
        <v>0</v>
      </c>
      <c r="H90" s="2">
        <v>1196</v>
      </c>
      <c r="I90" s="10">
        <v>199</v>
      </c>
      <c r="J90" s="10">
        <f t="shared" si="6"/>
        <v>1395</v>
      </c>
    </row>
    <row r="91" spans="2:24" x14ac:dyDescent="0.45">
      <c r="B91" s="3" t="s">
        <v>125</v>
      </c>
      <c r="C91" s="3">
        <v>4180.76</v>
      </c>
      <c r="D91" s="2">
        <v>10.51</v>
      </c>
      <c r="E91" s="3">
        <v>0</v>
      </c>
      <c r="F91" s="2">
        <v>4180.76</v>
      </c>
      <c r="G91" s="3">
        <v>0</v>
      </c>
      <c r="H91" s="2">
        <v>1419</v>
      </c>
      <c r="I91" s="10">
        <v>438</v>
      </c>
      <c r="J91" s="10">
        <f t="shared" si="6"/>
        <v>1857</v>
      </c>
    </row>
    <row r="92" spans="2:24" x14ac:dyDescent="0.45">
      <c r="B92" s="3" t="s">
        <v>126</v>
      </c>
      <c r="C92" s="3">
        <v>4204.84</v>
      </c>
      <c r="D92" s="2">
        <v>8.1300000000000008</v>
      </c>
      <c r="E92" s="3">
        <v>2</v>
      </c>
      <c r="F92" s="2">
        <v>4355.8900000000003</v>
      </c>
      <c r="G92" s="3">
        <v>0.69</v>
      </c>
      <c r="H92" s="2">
        <v>998</v>
      </c>
      <c r="I92" s="10">
        <v>313</v>
      </c>
      <c r="J92" s="10">
        <f t="shared" si="6"/>
        <v>1311</v>
      </c>
    </row>
    <row r="93" spans="2:24" x14ac:dyDescent="0.45">
      <c r="B93" s="3" t="s">
        <v>127</v>
      </c>
      <c r="C93" s="3">
        <v>5211.1499999999996</v>
      </c>
      <c r="D93" s="2">
        <v>39.4</v>
      </c>
      <c r="E93" s="3">
        <v>0</v>
      </c>
      <c r="F93" s="2">
        <v>5211.1499999999996</v>
      </c>
      <c r="G93" s="3">
        <v>0</v>
      </c>
      <c r="H93" s="2">
        <v>5341</v>
      </c>
      <c r="I93" s="10">
        <v>2114</v>
      </c>
      <c r="J93" s="10">
        <f t="shared" si="6"/>
        <v>7455</v>
      </c>
    </row>
    <row r="94" spans="2:24" x14ac:dyDescent="0.45">
      <c r="B94" s="3" t="s">
        <v>128</v>
      </c>
      <c r="C94" s="3">
        <v>5243.58</v>
      </c>
      <c r="D94" s="2">
        <v>97.84</v>
      </c>
      <c r="E94" s="3">
        <v>0</v>
      </c>
      <c r="F94" s="2">
        <v>5243.58</v>
      </c>
      <c r="G94" s="3">
        <v>0</v>
      </c>
      <c r="H94" s="2">
        <v>6606</v>
      </c>
      <c r="I94" s="10">
        <v>1644</v>
      </c>
      <c r="J94" s="10">
        <f t="shared" si="6"/>
        <v>8250</v>
      </c>
    </row>
    <row r="95" spans="2:24" x14ac:dyDescent="0.45">
      <c r="B95" s="3" t="s">
        <v>129</v>
      </c>
      <c r="C95" s="3">
        <v>5662.22</v>
      </c>
      <c r="D95" s="2">
        <v>20.58</v>
      </c>
      <c r="E95" s="3">
        <v>1</v>
      </c>
      <c r="F95" s="2">
        <v>5705.57</v>
      </c>
      <c r="G95" s="3">
        <v>0.59</v>
      </c>
      <c r="H95" s="2">
        <v>3387</v>
      </c>
      <c r="I95" s="10">
        <v>1820</v>
      </c>
      <c r="J95" s="10">
        <f t="shared" si="6"/>
        <v>5207</v>
      </c>
    </row>
    <row r="96" spans="2:24" x14ac:dyDescent="0.45">
      <c r="B96" s="3" t="s">
        <v>130</v>
      </c>
      <c r="C96" s="3">
        <v>4424.79</v>
      </c>
      <c r="D96" s="2">
        <v>91.4</v>
      </c>
      <c r="E96" s="3">
        <v>0</v>
      </c>
      <c r="F96" s="2">
        <v>4424.79</v>
      </c>
      <c r="G96" s="3">
        <v>0</v>
      </c>
      <c r="H96" s="2">
        <v>18898</v>
      </c>
      <c r="I96" s="10">
        <v>4916</v>
      </c>
      <c r="J96" s="10">
        <f t="shared" si="6"/>
        <v>23814</v>
      </c>
    </row>
    <row r="97" spans="2:10" x14ac:dyDescent="0.45">
      <c r="B97" s="3" t="s">
        <v>131</v>
      </c>
      <c r="C97" s="3">
        <v>4973.2700000000004</v>
      </c>
      <c r="D97" s="2">
        <v>30.48</v>
      </c>
      <c r="E97" s="3">
        <v>0</v>
      </c>
      <c r="F97" s="2">
        <v>4973.2700000000004</v>
      </c>
      <c r="G97" s="3">
        <v>0</v>
      </c>
      <c r="H97" s="2">
        <v>5034</v>
      </c>
      <c r="I97" s="10">
        <v>1986</v>
      </c>
      <c r="J97" s="10">
        <f t="shared" si="6"/>
        <v>7020</v>
      </c>
    </row>
    <row r="98" spans="2:10" x14ac:dyDescent="0.45">
      <c r="B98" s="3" t="s">
        <v>132</v>
      </c>
      <c r="C98" s="3">
        <v>8084.85</v>
      </c>
      <c r="D98" s="2">
        <f>U65</f>
        <v>18947.79</v>
      </c>
      <c r="E98" s="3">
        <v>13</v>
      </c>
      <c r="F98" s="2">
        <v>8193.86</v>
      </c>
      <c r="G98" s="3">
        <v>2432.88</v>
      </c>
      <c r="H98" s="2">
        <v>590453</v>
      </c>
      <c r="I98" s="10">
        <v>369805</v>
      </c>
      <c r="J98" s="10">
        <f t="shared" si="6"/>
        <v>960258</v>
      </c>
    </row>
    <row r="99" spans="2:10" x14ac:dyDescent="0.45">
      <c r="B99" s="3" t="s">
        <v>133</v>
      </c>
      <c r="C99" s="3">
        <v>8938.98</v>
      </c>
      <c r="D99" s="2">
        <f>W71</f>
        <v>45051.189999999995</v>
      </c>
      <c r="E99" s="3">
        <v>12</v>
      </c>
      <c r="F99" s="2">
        <v>9105.39</v>
      </c>
      <c r="G99" s="3">
        <v>19139.12</v>
      </c>
      <c r="H99" s="2">
        <v>841038</v>
      </c>
      <c r="I99" s="10">
        <v>280746</v>
      </c>
      <c r="J99" s="10">
        <f t="shared" ref="J99:J122" si="7">H99+I99</f>
        <v>1121784</v>
      </c>
    </row>
    <row r="100" spans="2:10" x14ac:dyDescent="0.45">
      <c r="B100" s="3" t="s">
        <v>134</v>
      </c>
      <c r="C100" s="3">
        <v>9353.43</v>
      </c>
      <c r="D100" s="2">
        <v>1082.17</v>
      </c>
      <c r="E100" s="3">
        <v>0</v>
      </c>
      <c r="F100" s="2">
        <v>9353.43</v>
      </c>
      <c r="G100" s="3">
        <v>0</v>
      </c>
      <c r="H100" s="2">
        <v>66617</v>
      </c>
      <c r="I100" s="10">
        <v>46159</v>
      </c>
      <c r="J100" s="10">
        <f t="shared" si="7"/>
        <v>112776</v>
      </c>
    </row>
    <row r="101" spans="2:10" x14ac:dyDescent="0.45">
      <c r="B101" s="3" t="s">
        <v>135</v>
      </c>
      <c r="C101" s="3">
        <v>7846.33</v>
      </c>
      <c r="D101" s="2">
        <f>X78</f>
        <v>63257.279999999999</v>
      </c>
      <c r="E101" s="3">
        <v>4</v>
      </c>
      <c r="F101" s="2">
        <v>7896.49</v>
      </c>
      <c r="G101" s="3">
        <v>523.72</v>
      </c>
      <c r="H101" s="2">
        <v>1399924</v>
      </c>
      <c r="I101" s="10">
        <v>499164</v>
      </c>
      <c r="J101" s="10">
        <f t="shared" si="7"/>
        <v>1899088</v>
      </c>
    </row>
    <row r="102" spans="2:10" x14ac:dyDescent="0.45">
      <c r="B102" s="3" t="s">
        <v>136</v>
      </c>
      <c r="C102" s="3">
        <v>7793.58</v>
      </c>
      <c r="D102" s="2">
        <f>W84</f>
        <v>36312.369999999995</v>
      </c>
      <c r="E102" s="3">
        <v>46</v>
      </c>
      <c r="F102" s="2">
        <v>8120.61</v>
      </c>
      <c r="G102" s="3">
        <v>4287.3999999999996</v>
      </c>
      <c r="H102" s="2">
        <v>931920</v>
      </c>
      <c r="I102" s="10">
        <v>395768</v>
      </c>
      <c r="J102" s="10">
        <f t="shared" si="7"/>
        <v>1327688</v>
      </c>
    </row>
    <row r="103" spans="2:10" x14ac:dyDescent="0.45">
      <c r="B103" s="3" t="s">
        <v>138</v>
      </c>
      <c r="C103" s="3">
        <v>2674.17</v>
      </c>
      <c r="D103" s="2">
        <v>0.64</v>
      </c>
      <c r="E103" s="3">
        <v>0</v>
      </c>
      <c r="F103" s="2">
        <v>2674.17</v>
      </c>
      <c r="G103" s="3">
        <v>0</v>
      </c>
      <c r="H103" s="2">
        <v>51</v>
      </c>
      <c r="I103" s="10">
        <v>4</v>
      </c>
      <c r="J103" s="10">
        <f t="shared" si="7"/>
        <v>55</v>
      </c>
    </row>
    <row r="104" spans="2:10" x14ac:dyDescent="0.45">
      <c r="B104" s="3" t="s">
        <v>139</v>
      </c>
      <c r="C104" s="3">
        <v>3448.39</v>
      </c>
      <c r="D104" s="2">
        <v>0.19</v>
      </c>
      <c r="E104" s="3">
        <v>0</v>
      </c>
      <c r="F104" s="2">
        <v>3448.39</v>
      </c>
      <c r="G104" s="3">
        <v>0</v>
      </c>
      <c r="H104" s="2">
        <v>16</v>
      </c>
      <c r="I104" s="10">
        <v>4</v>
      </c>
      <c r="J104" s="10">
        <f t="shared" si="7"/>
        <v>20</v>
      </c>
    </row>
    <row r="105" spans="2:10" x14ac:dyDescent="0.45">
      <c r="B105" s="3" t="s">
        <v>140</v>
      </c>
      <c r="C105" s="3">
        <v>2950.77</v>
      </c>
      <c r="D105" s="2">
        <v>0.85</v>
      </c>
      <c r="E105" s="3">
        <v>1</v>
      </c>
      <c r="F105" s="2">
        <v>3199.58</v>
      </c>
      <c r="G105" s="3">
        <v>0.04</v>
      </c>
      <c r="H105" s="2">
        <v>71</v>
      </c>
      <c r="I105" s="10">
        <v>13</v>
      </c>
      <c r="J105" s="10">
        <f t="shared" si="7"/>
        <v>84</v>
      </c>
    </row>
    <row r="106" spans="2:10" x14ac:dyDescent="0.45">
      <c r="B106" s="3" t="s">
        <v>141</v>
      </c>
      <c r="C106" s="3">
        <v>2815.18</v>
      </c>
      <c r="D106" s="2">
        <v>0.69</v>
      </c>
      <c r="E106" s="3">
        <v>0</v>
      </c>
      <c r="F106" s="2">
        <v>2815.18</v>
      </c>
      <c r="G106" s="3">
        <v>0</v>
      </c>
      <c r="H106" s="2">
        <v>43</v>
      </c>
      <c r="I106" s="10">
        <v>6</v>
      </c>
      <c r="J106" s="10">
        <f t="shared" si="7"/>
        <v>49</v>
      </c>
    </row>
    <row r="107" spans="2:10" x14ac:dyDescent="0.45">
      <c r="B107" s="3" t="s">
        <v>142</v>
      </c>
      <c r="C107" s="3">
        <v>3347.4</v>
      </c>
      <c r="D107" s="2">
        <v>0.28999999999999998</v>
      </c>
      <c r="E107" s="3">
        <v>0</v>
      </c>
      <c r="F107" s="2">
        <v>3347.4</v>
      </c>
      <c r="G107" s="3">
        <v>0</v>
      </c>
      <c r="H107" s="2">
        <v>34</v>
      </c>
      <c r="I107" s="10">
        <v>5</v>
      </c>
      <c r="J107" s="10">
        <f t="shared" si="7"/>
        <v>39</v>
      </c>
    </row>
    <row r="108" spans="2:10" x14ac:dyDescent="0.45">
      <c r="B108" s="3" t="s">
        <v>143</v>
      </c>
      <c r="C108" s="3">
        <v>4066.18</v>
      </c>
      <c r="D108" s="2">
        <v>2.19</v>
      </c>
      <c r="E108" s="3">
        <v>1</v>
      </c>
      <c r="F108" s="2">
        <v>4090.42</v>
      </c>
      <c r="G108" s="3">
        <v>0.17</v>
      </c>
      <c r="H108" s="2">
        <v>173</v>
      </c>
      <c r="I108" s="10">
        <v>44</v>
      </c>
      <c r="J108" s="10">
        <f t="shared" si="7"/>
        <v>217</v>
      </c>
    </row>
    <row r="109" spans="2:10" x14ac:dyDescent="0.45">
      <c r="B109" s="3" t="s">
        <v>144</v>
      </c>
      <c r="C109" s="3">
        <v>4135.59</v>
      </c>
      <c r="D109" s="2">
        <v>0.36</v>
      </c>
      <c r="E109" s="3">
        <v>2</v>
      </c>
      <c r="F109" s="2">
        <v>4265.6099999999997</v>
      </c>
      <c r="G109" s="3">
        <v>0.25</v>
      </c>
      <c r="H109" s="2">
        <v>22</v>
      </c>
      <c r="I109" s="10">
        <v>9</v>
      </c>
      <c r="J109" s="10">
        <f t="shared" si="7"/>
        <v>31</v>
      </c>
    </row>
    <row r="110" spans="2:10" x14ac:dyDescent="0.45">
      <c r="B110" s="3" t="s">
        <v>145</v>
      </c>
      <c r="C110" s="3">
        <v>4722.3999999999996</v>
      </c>
      <c r="D110" s="2">
        <v>0.22</v>
      </c>
      <c r="E110" s="3">
        <v>1</v>
      </c>
      <c r="F110" s="2">
        <v>4764.7</v>
      </c>
      <c r="G110" s="3">
        <v>0.03</v>
      </c>
      <c r="H110" s="2">
        <v>17</v>
      </c>
      <c r="I110" s="10">
        <v>12</v>
      </c>
      <c r="J110" s="10">
        <f t="shared" si="7"/>
        <v>29</v>
      </c>
    </row>
    <row r="111" spans="2:10" x14ac:dyDescent="0.45">
      <c r="B111" s="3" t="s">
        <v>146</v>
      </c>
      <c r="C111" s="3">
        <v>3934.95</v>
      </c>
      <c r="D111" s="2">
        <v>0.39</v>
      </c>
      <c r="E111" s="3">
        <v>2</v>
      </c>
      <c r="F111" s="2">
        <v>4037.71</v>
      </c>
      <c r="G111" s="3">
        <v>0.7</v>
      </c>
      <c r="H111" s="2">
        <v>27</v>
      </c>
      <c r="I111" s="10">
        <v>8</v>
      </c>
      <c r="J111" s="10">
        <f t="shared" si="7"/>
        <v>35</v>
      </c>
    </row>
    <row r="112" spans="2:10" x14ac:dyDescent="0.45">
      <c r="B112" s="3" t="s">
        <v>147</v>
      </c>
      <c r="C112" s="3">
        <v>4556.5200000000004</v>
      </c>
      <c r="D112" s="2">
        <v>1.27</v>
      </c>
      <c r="E112" s="3">
        <v>1</v>
      </c>
      <c r="F112" s="2">
        <v>4558.7700000000004</v>
      </c>
      <c r="G112" s="3">
        <v>0.36</v>
      </c>
      <c r="H112" s="2">
        <v>65</v>
      </c>
      <c r="I112" s="10">
        <v>35</v>
      </c>
      <c r="J112" s="10">
        <f t="shared" si="7"/>
        <v>100</v>
      </c>
    </row>
    <row r="113" spans="2:10" x14ac:dyDescent="0.45">
      <c r="B113" s="3" t="s">
        <v>148</v>
      </c>
      <c r="C113" s="3">
        <v>4541.0600000000004</v>
      </c>
      <c r="D113" s="2">
        <v>4.43</v>
      </c>
      <c r="E113" s="3">
        <v>5</v>
      </c>
      <c r="F113" s="2">
        <v>4628.46</v>
      </c>
      <c r="G113" s="3">
        <v>1.41</v>
      </c>
      <c r="H113" s="2">
        <v>225</v>
      </c>
      <c r="I113" s="10">
        <v>68</v>
      </c>
      <c r="J113" s="10">
        <f t="shared" si="7"/>
        <v>293</v>
      </c>
    </row>
    <row r="114" spans="2:10" x14ac:dyDescent="0.45">
      <c r="B114" s="3" t="s">
        <v>149</v>
      </c>
      <c r="C114" s="3">
        <v>5946.49</v>
      </c>
      <c r="D114" s="2">
        <v>2.78</v>
      </c>
      <c r="E114" s="3">
        <v>3</v>
      </c>
      <c r="F114" s="2">
        <v>5964.5</v>
      </c>
      <c r="G114" s="3">
        <v>0.4</v>
      </c>
      <c r="H114" s="2">
        <v>128</v>
      </c>
      <c r="I114" s="10">
        <v>62</v>
      </c>
      <c r="J114" s="10">
        <f t="shared" si="7"/>
        <v>190</v>
      </c>
    </row>
    <row r="115" spans="2:10" x14ac:dyDescent="0.45">
      <c r="B115" s="3" t="s">
        <v>150</v>
      </c>
      <c r="C115" s="3">
        <v>5202.07</v>
      </c>
      <c r="D115" s="2">
        <v>5.73</v>
      </c>
      <c r="E115" s="3">
        <v>1</v>
      </c>
      <c r="F115" s="2">
        <v>5273.93</v>
      </c>
      <c r="G115" s="3">
        <v>0.14000000000000001</v>
      </c>
      <c r="H115" s="2">
        <v>418</v>
      </c>
      <c r="I115" s="10">
        <v>180</v>
      </c>
      <c r="J115" s="10">
        <f t="shared" si="7"/>
        <v>598</v>
      </c>
    </row>
    <row r="116" spans="2:10" x14ac:dyDescent="0.45">
      <c r="B116" s="3" t="s">
        <v>151</v>
      </c>
      <c r="C116" s="3">
        <v>4242.0600000000004</v>
      </c>
      <c r="D116" s="2">
        <v>5.55</v>
      </c>
      <c r="E116" s="3">
        <v>7</v>
      </c>
      <c r="F116" s="2">
        <v>4467.74</v>
      </c>
      <c r="G116" s="3">
        <v>1.4</v>
      </c>
      <c r="H116" s="2">
        <v>225</v>
      </c>
      <c r="I116" s="10">
        <v>93</v>
      </c>
      <c r="J116" s="10">
        <f t="shared" si="7"/>
        <v>318</v>
      </c>
    </row>
    <row r="117" spans="2:10" x14ac:dyDescent="0.45">
      <c r="B117" s="3" t="s">
        <v>152</v>
      </c>
      <c r="C117" s="3">
        <v>4891.25</v>
      </c>
      <c r="D117" s="2">
        <v>6.41</v>
      </c>
      <c r="E117" s="3">
        <v>4</v>
      </c>
      <c r="F117" s="2">
        <v>5051.62</v>
      </c>
      <c r="G117" s="3">
        <v>1.07</v>
      </c>
      <c r="H117" s="2">
        <v>472</v>
      </c>
      <c r="I117" s="10">
        <v>135</v>
      </c>
      <c r="J117" s="10">
        <f t="shared" si="7"/>
        <v>607</v>
      </c>
    </row>
    <row r="118" spans="2:10" x14ac:dyDescent="0.45">
      <c r="B118" s="3" t="s">
        <v>153</v>
      </c>
      <c r="C118" s="3">
        <v>8931.92</v>
      </c>
      <c r="D118" s="2">
        <v>112.52</v>
      </c>
      <c r="E118" s="3">
        <v>81</v>
      </c>
      <c r="F118" s="2">
        <v>9721.74</v>
      </c>
      <c r="G118" s="3">
        <v>290.35000000000002</v>
      </c>
      <c r="H118" s="2">
        <v>5100</v>
      </c>
      <c r="I118" s="10">
        <v>3077</v>
      </c>
      <c r="J118" s="10">
        <f t="shared" si="7"/>
        <v>8177</v>
      </c>
    </row>
    <row r="119" spans="2:10" x14ac:dyDescent="0.45">
      <c r="B119" s="3" t="s">
        <v>154</v>
      </c>
      <c r="C119" s="3">
        <v>9359.7199999999993</v>
      </c>
      <c r="D119" s="2">
        <v>25.91</v>
      </c>
      <c r="E119" s="3">
        <v>24</v>
      </c>
      <c r="F119" s="2">
        <v>9929.9500000000007</v>
      </c>
      <c r="G119" s="3">
        <v>42.74</v>
      </c>
      <c r="H119" s="2">
        <v>1254</v>
      </c>
      <c r="I119" s="10">
        <v>908</v>
      </c>
      <c r="J119" s="10">
        <f t="shared" si="7"/>
        <v>2162</v>
      </c>
    </row>
    <row r="120" spans="2:10" x14ac:dyDescent="0.45">
      <c r="B120" s="3" t="s">
        <v>155</v>
      </c>
      <c r="C120" s="3">
        <v>10886.29</v>
      </c>
      <c r="D120" s="2">
        <v>45.02</v>
      </c>
      <c r="E120" s="3">
        <v>8</v>
      </c>
      <c r="F120" s="2">
        <v>11340.59</v>
      </c>
      <c r="G120" s="3">
        <v>3.07</v>
      </c>
      <c r="H120" s="2">
        <v>1797</v>
      </c>
      <c r="I120" s="10">
        <v>1478</v>
      </c>
      <c r="J120" s="10">
        <f t="shared" si="7"/>
        <v>3275</v>
      </c>
    </row>
    <row r="121" spans="2:10" x14ac:dyDescent="0.45">
      <c r="B121" s="3" t="s">
        <v>156</v>
      </c>
      <c r="C121" s="3">
        <v>7735.35</v>
      </c>
      <c r="D121" s="2">
        <v>150.66999999999999</v>
      </c>
      <c r="E121" s="3">
        <v>60</v>
      </c>
      <c r="F121" s="2">
        <v>8481.2099999999991</v>
      </c>
      <c r="G121" s="3">
        <v>112.03</v>
      </c>
      <c r="H121" s="2">
        <v>6818</v>
      </c>
      <c r="I121" s="10">
        <v>4157</v>
      </c>
      <c r="J121" s="10">
        <f t="shared" si="7"/>
        <v>10975</v>
      </c>
    </row>
    <row r="122" spans="2:10" ht="15.75" customHeight="1" thickBot="1" x14ac:dyDescent="0.5">
      <c r="B122" s="6" t="s">
        <v>157</v>
      </c>
      <c r="C122" s="6">
        <v>9082.58</v>
      </c>
      <c r="D122" s="7">
        <v>92.45</v>
      </c>
      <c r="E122" s="6">
        <v>10</v>
      </c>
      <c r="F122" s="7">
        <v>9435.83</v>
      </c>
      <c r="G122" s="6">
        <v>6.03</v>
      </c>
      <c r="H122" s="7">
        <v>4798</v>
      </c>
      <c r="I122" s="6">
        <v>2876</v>
      </c>
      <c r="J122" s="6">
        <f t="shared" si="7"/>
        <v>7674</v>
      </c>
    </row>
    <row r="123" spans="2:10" x14ac:dyDescent="0.45">
      <c r="B123" s="4" t="s">
        <v>158</v>
      </c>
      <c r="C123" s="4" t="s">
        <v>137</v>
      </c>
      <c r="D123" s="5" t="s">
        <v>137</v>
      </c>
      <c r="E123" s="4" t="s">
        <v>137</v>
      </c>
      <c r="F123" s="5" t="s">
        <v>137</v>
      </c>
      <c r="G123" s="4" t="s">
        <v>137</v>
      </c>
      <c r="H123" s="5" t="s">
        <v>137</v>
      </c>
    </row>
    <row r="124" spans="2:10" x14ac:dyDescent="0.45">
      <c r="B124" s="3" t="s">
        <v>159</v>
      </c>
      <c r="C124" s="3" t="s">
        <v>137</v>
      </c>
      <c r="D124" s="2" t="s">
        <v>137</v>
      </c>
      <c r="E124" s="3" t="s">
        <v>137</v>
      </c>
      <c r="F124" s="2" t="s">
        <v>137</v>
      </c>
      <c r="G124" s="3" t="s">
        <v>137</v>
      </c>
      <c r="H124" s="2" t="s">
        <v>137</v>
      </c>
    </row>
    <row r="125" spans="2:10" x14ac:dyDescent="0.45">
      <c r="B125" s="3" t="s">
        <v>160</v>
      </c>
      <c r="C125" s="3" t="s">
        <v>137</v>
      </c>
      <c r="D125" s="2" t="s">
        <v>137</v>
      </c>
      <c r="E125" s="3" t="s">
        <v>137</v>
      </c>
      <c r="F125" s="2" t="s">
        <v>137</v>
      </c>
      <c r="G125" s="3" t="s">
        <v>137</v>
      </c>
      <c r="H125" s="2" t="s">
        <v>137</v>
      </c>
    </row>
    <row r="126" spans="2:10" x14ac:dyDescent="0.45">
      <c r="B126" s="3" t="s">
        <v>161</v>
      </c>
      <c r="C126" s="3" t="s">
        <v>137</v>
      </c>
      <c r="D126" s="2" t="s">
        <v>137</v>
      </c>
      <c r="E126" s="3" t="s">
        <v>137</v>
      </c>
      <c r="F126" s="2" t="s">
        <v>137</v>
      </c>
      <c r="G126" s="3" t="s">
        <v>137</v>
      </c>
      <c r="H126" s="2" t="s">
        <v>137</v>
      </c>
    </row>
    <row r="127" spans="2:10" x14ac:dyDescent="0.45">
      <c r="B127" s="3" t="s">
        <v>162</v>
      </c>
      <c r="C127" s="3" t="s">
        <v>137</v>
      </c>
      <c r="D127" s="2" t="s">
        <v>137</v>
      </c>
      <c r="E127" s="3" t="s">
        <v>137</v>
      </c>
      <c r="F127" s="2" t="s">
        <v>137</v>
      </c>
      <c r="G127" s="3" t="s">
        <v>137</v>
      </c>
      <c r="H127" s="2" t="s">
        <v>137</v>
      </c>
    </row>
    <row r="128" spans="2:10" x14ac:dyDescent="0.45">
      <c r="B128" s="3" t="s">
        <v>163</v>
      </c>
      <c r="C128" s="3">
        <v>25573.27</v>
      </c>
      <c r="D128" s="2">
        <v>259.48</v>
      </c>
      <c r="E128" s="3">
        <v>8</v>
      </c>
      <c r="F128" s="2">
        <v>26275.88</v>
      </c>
      <c r="G128" s="3">
        <v>3.1</v>
      </c>
      <c r="H128" s="2" t="s">
        <v>137</v>
      </c>
    </row>
    <row r="129" spans="2:8" x14ac:dyDescent="0.45">
      <c r="B129" s="3" t="s">
        <v>164</v>
      </c>
      <c r="C129" s="3">
        <v>26428.76</v>
      </c>
      <c r="D129" s="2">
        <v>220.5</v>
      </c>
      <c r="E129" s="3">
        <v>2</v>
      </c>
      <c r="F129" s="2">
        <v>26519.39</v>
      </c>
      <c r="G129" s="3">
        <v>0.75</v>
      </c>
      <c r="H129" s="2" t="s">
        <v>137</v>
      </c>
    </row>
    <row r="130" spans="2:8" x14ac:dyDescent="0.45">
      <c r="B130" s="3" t="s">
        <v>165</v>
      </c>
      <c r="C130" s="3">
        <v>25528.86</v>
      </c>
      <c r="D130" s="2">
        <v>320.27</v>
      </c>
      <c r="E130" s="3">
        <v>6</v>
      </c>
      <c r="F130" s="2">
        <v>26926.87</v>
      </c>
      <c r="G130" s="3">
        <v>1.86</v>
      </c>
      <c r="H130" s="2" t="s">
        <v>137</v>
      </c>
    </row>
    <row r="131" spans="2:8" x14ac:dyDescent="0.45">
      <c r="B131" s="3" t="s">
        <v>166</v>
      </c>
      <c r="C131" s="3">
        <v>23996.62</v>
      </c>
      <c r="D131" s="2">
        <v>474.14</v>
      </c>
      <c r="E131" s="3">
        <v>10</v>
      </c>
      <c r="F131" s="2">
        <v>25354.14</v>
      </c>
      <c r="G131" s="3">
        <v>4.8499999999999996</v>
      </c>
      <c r="H131" s="2" t="s">
        <v>137</v>
      </c>
    </row>
    <row r="132" spans="2:8" x14ac:dyDescent="0.45">
      <c r="B132" s="3" t="s">
        <v>167</v>
      </c>
      <c r="C132" s="3">
        <v>24125.35</v>
      </c>
      <c r="D132" s="2">
        <v>542.13</v>
      </c>
      <c r="E132" s="3">
        <v>9</v>
      </c>
      <c r="F132" s="2">
        <v>24607.21</v>
      </c>
      <c r="G132" s="3">
        <v>5.73</v>
      </c>
      <c r="H132" s="2" t="s">
        <v>137</v>
      </c>
    </row>
    <row r="133" spans="2:8" x14ac:dyDescent="0.45">
      <c r="B133" s="3" t="s">
        <v>168</v>
      </c>
      <c r="C133" s="3">
        <v>25668.35</v>
      </c>
      <c r="D133" s="2">
        <v>2419.46</v>
      </c>
      <c r="E133" s="3">
        <v>0</v>
      </c>
      <c r="F133" s="2">
        <v>25668.35</v>
      </c>
      <c r="G133" s="3">
        <v>0.06</v>
      </c>
      <c r="H133" s="2" t="s">
        <v>137</v>
      </c>
    </row>
    <row r="134" spans="2:8" x14ac:dyDescent="0.45">
      <c r="B134" s="3" t="s">
        <v>169</v>
      </c>
      <c r="C134" s="3">
        <v>26060.66</v>
      </c>
      <c r="D134" s="2">
        <v>1666.9</v>
      </c>
      <c r="E134" s="3">
        <v>1</v>
      </c>
      <c r="F134" s="2">
        <v>26119.5</v>
      </c>
      <c r="G134" s="3">
        <v>1.83</v>
      </c>
      <c r="H134" s="2" t="s">
        <v>137</v>
      </c>
    </row>
    <row r="135" spans="2:8" x14ac:dyDescent="0.45">
      <c r="B135" s="3" t="s">
        <v>170</v>
      </c>
      <c r="C135" s="3">
        <v>26078.93</v>
      </c>
      <c r="D135" s="2">
        <v>691.82</v>
      </c>
      <c r="E135" s="3">
        <v>0</v>
      </c>
      <c r="F135" s="2">
        <v>26078.93</v>
      </c>
      <c r="G135" s="3">
        <v>0</v>
      </c>
      <c r="H135" s="2" t="s">
        <v>137</v>
      </c>
    </row>
    <row r="136" spans="2:8" x14ac:dyDescent="0.45">
      <c r="B136" s="3" t="s">
        <v>171</v>
      </c>
      <c r="C136" s="3">
        <v>24405.02</v>
      </c>
      <c r="D136" s="2">
        <v>2181.98</v>
      </c>
      <c r="E136" s="3">
        <v>0</v>
      </c>
      <c r="F136" s="2">
        <v>24405.02</v>
      </c>
      <c r="G136" s="3">
        <v>0</v>
      </c>
      <c r="H136" s="2" t="s">
        <v>137</v>
      </c>
    </row>
    <row r="137" spans="2:8" x14ac:dyDescent="0.45">
      <c r="B137" s="3" t="s">
        <v>172</v>
      </c>
      <c r="C137" s="3">
        <v>25041.73</v>
      </c>
      <c r="D137" s="2">
        <v>592.21</v>
      </c>
      <c r="E137" s="3">
        <v>1</v>
      </c>
      <c r="F137" s="2">
        <v>25094.48</v>
      </c>
      <c r="G137" s="3">
        <v>1.01</v>
      </c>
      <c r="H137" s="2" t="s">
        <v>137</v>
      </c>
    </row>
    <row r="138" spans="2:8" x14ac:dyDescent="0.45">
      <c r="B138" s="3" t="s">
        <v>173</v>
      </c>
      <c r="C138" s="3">
        <v>30822.400000000001</v>
      </c>
      <c r="D138" s="2">
        <v>8.83</v>
      </c>
      <c r="E138" s="3">
        <v>0</v>
      </c>
      <c r="F138" s="2">
        <v>30822.400000000001</v>
      </c>
      <c r="G138" s="3">
        <v>0</v>
      </c>
      <c r="H138" s="2" t="s">
        <v>137</v>
      </c>
    </row>
    <row r="139" spans="2:8" x14ac:dyDescent="0.45">
      <c r="B139" s="3" t="s">
        <v>174</v>
      </c>
      <c r="C139" s="3">
        <v>34298.519999999997</v>
      </c>
      <c r="D139" s="2">
        <v>14.14</v>
      </c>
      <c r="E139" s="3">
        <v>0</v>
      </c>
      <c r="F139" s="2">
        <v>34298.519999999997</v>
      </c>
      <c r="G139" s="3">
        <v>0</v>
      </c>
      <c r="H139" s="2" t="s">
        <v>137</v>
      </c>
    </row>
    <row r="140" spans="2:8" x14ac:dyDescent="0.45">
      <c r="B140" s="3" t="s">
        <v>175</v>
      </c>
      <c r="C140" s="3">
        <v>32673.06</v>
      </c>
      <c r="D140" s="2">
        <v>12.37</v>
      </c>
      <c r="E140" s="3">
        <v>1</v>
      </c>
      <c r="F140" s="2">
        <v>32678.65</v>
      </c>
      <c r="G140" s="3">
        <v>0.02</v>
      </c>
      <c r="H140" s="2" t="s">
        <v>137</v>
      </c>
    </row>
    <row r="141" spans="2:8" x14ac:dyDescent="0.45">
      <c r="B141" s="3" t="s">
        <v>176</v>
      </c>
      <c r="C141" s="3">
        <v>31121.59</v>
      </c>
      <c r="D141" s="2">
        <v>10.24</v>
      </c>
      <c r="E141" s="3">
        <v>1</v>
      </c>
      <c r="F141" s="2">
        <v>31143.65</v>
      </c>
      <c r="G141" s="3">
        <v>0.04</v>
      </c>
      <c r="H141" s="2" t="s">
        <v>137</v>
      </c>
    </row>
    <row r="142" spans="2:8" x14ac:dyDescent="0.45">
      <c r="B142" s="3" t="s">
        <v>177</v>
      </c>
      <c r="C142" s="3">
        <v>29434.68</v>
      </c>
      <c r="D142" s="2">
        <v>11.7</v>
      </c>
      <c r="E142" s="3">
        <v>1</v>
      </c>
      <c r="F142" s="2">
        <v>29499.52</v>
      </c>
      <c r="G142" s="3">
        <v>0.06</v>
      </c>
      <c r="H142" s="2" t="s">
        <v>137</v>
      </c>
    </row>
    <row r="143" spans="2:8" x14ac:dyDescent="0.45">
      <c r="B143" s="3" t="s">
        <v>178</v>
      </c>
      <c r="C143" s="3" t="s">
        <v>137</v>
      </c>
      <c r="D143" s="2" t="s">
        <v>137</v>
      </c>
      <c r="E143" s="3" t="s">
        <v>137</v>
      </c>
      <c r="F143" s="2" t="s">
        <v>137</v>
      </c>
      <c r="G143" s="3" t="s">
        <v>137</v>
      </c>
      <c r="H143" s="2" t="s">
        <v>137</v>
      </c>
    </row>
    <row r="144" spans="2:8" x14ac:dyDescent="0.45">
      <c r="B144" s="3" t="s">
        <v>179</v>
      </c>
      <c r="C144" s="3" t="s">
        <v>137</v>
      </c>
      <c r="D144" s="2" t="s">
        <v>137</v>
      </c>
      <c r="E144" s="3" t="s">
        <v>137</v>
      </c>
      <c r="F144" s="2" t="s">
        <v>137</v>
      </c>
      <c r="G144" s="3" t="s">
        <v>137</v>
      </c>
      <c r="H144" s="2" t="s">
        <v>137</v>
      </c>
    </row>
    <row r="145" spans="2:8" x14ac:dyDescent="0.45">
      <c r="B145" s="3" t="s">
        <v>180</v>
      </c>
      <c r="C145" s="3" t="s">
        <v>137</v>
      </c>
      <c r="D145" s="2" t="s">
        <v>137</v>
      </c>
      <c r="E145" s="3" t="s">
        <v>137</v>
      </c>
      <c r="F145" s="2" t="s">
        <v>137</v>
      </c>
      <c r="G145" s="3" t="s">
        <v>137</v>
      </c>
      <c r="H145" s="2" t="s">
        <v>137</v>
      </c>
    </row>
    <row r="146" spans="2:8" x14ac:dyDescent="0.45">
      <c r="B146" s="3" t="s">
        <v>181</v>
      </c>
      <c r="C146" s="3" t="s">
        <v>137</v>
      </c>
      <c r="D146" s="2" t="s">
        <v>137</v>
      </c>
      <c r="E146" s="3" t="s">
        <v>137</v>
      </c>
      <c r="F146" s="2" t="s">
        <v>137</v>
      </c>
      <c r="G146" s="3" t="s">
        <v>137</v>
      </c>
      <c r="H146" s="2" t="s">
        <v>137</v>
      </c>
    </row>
    <row r="147" spans="2:8" x14ac:dyDescent="0.45">
      <c r="B147" s="3" t="s">
        <v>182</v>
      </c>
      <c r="C147" s="3" t="s">
        <v>137</v>
      </c>
      <c r="D147" s="2" t="s">
        <v>137</v>
      </c>
      <c r="E147" s="3" t="s">
        <v>137</v>
      </c>
      <c r="F147" s="2" t="s">
        <v>137</v>
      </c>
      <c r="G147" s="3" t="s">
        <v>137</v>
      </c>
      <c r="H147" s="2" t="s">
        <v>137</v>
      </c>
    </row>
    <row r="148" spans="2:8" x14ac:dyDescent="0.45">
      <c r="B148" s="3" t="s">
        <v>183</v>
      </c>
      <c r="C148" s="3" t="s">
        <v>137</v>
      </c>
      <c r="D148" s="2" t="s">
        <v>137</v>
      </c>
      <c r="E148" s="3" t="s">
        <v>137</v>
      </c>
      <c r="F148" s="2" t="s">
        <v>137</v>
      </c>
      <c r="G148" s="3" t="s">
        <v>137</v>
      </c>
      <c r="H148" s="2" t="s">
        <v>137</v>
      </c>
    </row>
    <row r="149" spans="2:8" x14ac:dyDescent="0.45">
      <c r="B149" s="3" t="s">
        <v>184</v>
      </c>
      <c r="C149" s="3" t="s">
        <v>137</v>
      </c>
      <c r="D149" s="2" t="s">
        <v>137</v>
      </c>
      <c r="E149" s="3" t="s">
        <v>137</v>
      </c>
      <c r="F149" s="2" t="s">
        <v>137</v>
      </c>
      <c r="G149" s="3" t="s">
        <v>137</v>
      </c>
      <c r="H149" s="2" t="s">
        <v>137</v>
      </c>
    </row>
    <row r="150" spans="2:8" x14ac:dyDescent="0.45">
      <c r="B150" s="3" t="s">
        <v>185</v>
      </c>
      <c r="C150" s="3" t="s">
        <v>137</v>
      </c>
      <c r="D150" s="2" t="s">
        <v>137</v>
      </c>
      <c r="E150" s="3" t="s">
        <v>137</v>
      </c>
      <c r="F150" s="2" t="s">
        <v>137</v>
      </c>
      <c r="G150" s="3" t="s">
        <v>137</v>
      </c>
      <c r="H150" s="2" t="s">
        <v>137</v>
      </c>
    </row>
    <row r="151" spans="2:8" x14ac:dyDescent="0.45">
      <c r="B151" s="3" t="s">
        <v>186</v>
      </c>
      <c r="C151" s="3" t="s">
        <v>137</v>
      </c>
      <c r="D151" s="2" t="s">
        <v>137</v>
      </c>
      <c r="E151" s="3" t="s">
        <v>137</v>
      </c>
      <c r="F151" s="2" t="s">
        <v>137</v>
      </c>
      <c r="G151" s="3" t="s">
        <v>137</v>
      </c>
      <c r="H151" s="2" t="s">
        <v>137</v>
      </c>
    </row>
    <row r="152" spans="2:8" x14ac:dyDescent="0.45">
      <c r="B152" s="3" t="s">
        <v>187</v>
      </c>
      <c r="C152" s="3" t="s">
        <v>137</v>
      </c>
      <c r="D152" s="2" t="s">
        <v>137</v>
      </c>
      <c r="E152" s="3" t="s">
        <v>137</v>
      </c>
      <c r="F152" s="2" t="s">
        <v>137</v>
      </c>
      <c r="G152" s="3" t="s">
        <v>137</v>
      </c>
      <c r="H152" s="2" t="s">
        <v>137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1EC4E-B8A4-47DA-9DBF-FD87C1F542B4}">
  <dimension ref="B7:G33"/>
  <sheetViews>
    <sheetView topLeftCell="A4" zoomScale="85" zoomScaleNormal="85" workbookViewId="0">
      <selection activeCell="C30" sqref="C30"/>
    </sheetView>
  </sheetViews>
  <sheetFormatPr defaultRowHeight="14.25" x14ac:dyDescent="0.45"/>
  <cols>
    <col min="2" max="2" width="22.1328125" customWidth="1"/>
    <col min="3" max="3" width="54.1328125" customWidth="1"/>
    <col min="4" max="4" width="28.86328125" customWidth="1"/>
    <col min="5" max="5" width="32.265625" customWidth="1"/>
    <col min="6" max="6" width="27.1328125" customWidth="1"/>
    <col min="7" max="7" width="26.1328125" customWidth="1"/>
    <col min="8" max="8" width="30.1328125" customWidth="1"/>
    <col min="9" max="9" width="27.86328125" customWidth="1"/>
    <col min="12" max="12" width="16.1328125" customWidth="1"/>
  </cols>
  <sheetData>
    <row r="7" spans="2:7" x14ac:dyDescent="0.45">
      <c r="B7" s="15"/>
      <c r="C7" s="15" t="s">
        <v>197</v>
      </c>
      <c r="D7" s="15" t="s">
        <v>199</v>
      </c>
      <c r="E7" s="15" t="s">
        <v>198</v>
      </c>
      <c r="F7" s="15" t="s">
        <v>199</v>
      </c>
      <c r="G7" s="15" t="s">
        <v>200</v>
      </c>
    </row>
    <row r="8" spans="2:7" x14ac:dyDescent="0.45">
      <c r="B8" s="3" t="s">
        <v>34</v>
      </c>
      <c r="C8" s="15">
        <f>Sheet1!D18+Sheet1!G18</f>
        <v>125.13</v>
      </c>
      <c r="D8" s="15">
        <f>Sheet1!J18</f>
        <v>13106</v>
      </c>
      <c r="E8" s="15">
        <v>140.43</v>
      </c>
      <c r="F8" s="15">
        <f>7329+5775</f>
        <v>13104</v>
      </c>
      <c r="G8" s="15">
        <f>D8-F8</f>
        <v>2</v>
      </c>
    </row>
    <row r="9" spans="2:7" x14ac:dyDescent="0.45">
      <c r="B9" s="3" t="s">
        <v>35</v>
      </c>
      <c r="C9" s="15">
        <f>Sheet1!D19+Sheet1!G19</f>
        <v>521.37</v>
      </c>
      <c r="D9" s="15">
        <f>Sheet1!J19</f>
        <v>31696</v>
      </c>
      <c r="E9" s="15">
        <v>723.32</v>
      </c>
      <c r="F9" s="15">
        <f>21792+9899</f>
        <v>31691</v>
      </c>
      <c r="G9" s="15">
        <f>D9-F9</f>
        <v>5</v>
      </c>
    </row>
    <row r="10" spans="2:7" x14ac:dyDescent="0.45">
      <c r="B10" s="3" t="s">
        <v>36</v>
      </c>
      <c r="C10" s="15">
        <f>Sheet1!D20+Sheet1!G20</f>
        <v>72.989999999999995</v>
      </c>
      <c r="D10" s="15">
        <f>Sheet1!J20</f>
        <v>5821</v>
      </c>
      <c r="E10" s="15">
        <v>80.41</v>
      </c>
      <c r="F10" s="15">
        <f>3033+2771</f>
        <v>5804</v>
      </c>
      <c r="G10" s="15">
        <f>D10-F10</f>
        <v>17</v>
      </c>
    </row>
    <row r="11" spans="2:7" x14ac:dyDescent="0.45">
      <c r="B11" s="3" t="s">
        <v>37</v>
      </c>
      <c r="C11" s="15">
        <f>Sheet1!D21+Sheet1!G21</f>
        <v>371.95</v>
      </c>
      <c r="D11" s="15">
        <f>Sheet1!J21</f>
        <v>25727</v>
      </c>
      <c r="E11" s="15">
        <v>453.75</v>
      </c>
      <c r="F11" s="15">
        <f>18419+7284</f>
        <v>25703</v>
      </c>
      <c r="G11" s="15">
        <f>D11-F11</f>
        <v>24</v>
      </c>
    </row>
    <row r="12" spans="2:7" x14ac:dyDescent="0.45">
      <c r="B12" s="3" t="s">
        <v>38</v>
      </c>
      <c r="C12" s="15">
        <f>Sheet1!D22+Sheet1!G22</f>
        <v>231.47</v>
      </c>
      <c r="D12" s="15">
        <f>Sheet1!J22</f>
        <v>15979</v>
      </c>
      <c r="E12" s="15">
        <v>265.57</v>
      </c>
      <c r="F12" s="15">
        <f>10014+5847</f>
        <v>15861</v>
      </c>
      <c r="G12" s="15">
        <f t="shared" ref="G12:G17" si="0">D12-F12</f>
        <v>118</v>
      </c>
    </row>
    <row r="13" spans="2:7" x14ac:dyDescent="0.45">
      <c r="B13" s="15" t="s">
        <v>153</v>
      </c>
      <c r="C13" s="15">
        <f>Sheet1!D118+Sheet1!G118</f>
        <v>402.87</v>
      </c>
      <c r="D13" s="15">
        <f>Sheet1!J118</f>
        <v>8177</v>
      </c>
      <c r="E13" s="15">
        <v>868.86</v>
      </c>
      <c r="F13" s="15">
        <f>4211+2412</f>
        <v>6623</v>
      </c>
      <c r="G13" s="15">
        <f t="shared" si="0"/>
        <v>1554</v>
      </c>
    </row>
    <row r="14" spans="2:7" x14ac:dyDescent="0.45">
      <c r="B14" s="15" t="s">
        <v>154</v>
      </c>
      <c r="C14" s="15">
        <f>Sheet1!D119+Sheet1!G119</f>
        <v>68.650000000000006</v>
      </c>
      <c r="D14" s="15">
        <f>Sheet1!J119</f>
        <v>2162</v>
      </c>
      <c r="E14" s="15">
        <v>149.4</v>
      </c>
      <c r="F14" s="15">
        <f>1104+767</f>
        <v>1871</v>
      </c>
      <c r="G14" s="15">
        <f t="shared" si="0"/>
        <v>291</v>
      </c>
    </row>
    <row r="15" spans="2:7" x14ac:dyDescent="0.45">
      <c r="B15" s="15" t="s">
        <v>155</v>
      </c>
      <c r="C15" s="15">
        <f>Sheet1!D120+Sheet1!G120</f>
        <v>48.09</v>
      </c>
      <c r="D15" s="15">
        <f>Sheet1!J120</f>
        <v>3275</v>
      </c>
      <c r="E15" s="15">
        <v>96.56</v>
      </c>
      <c r="F15" s="15">
        <f>1713+1396</f>
        <v>3109</v>
      </c>
      <c r="G15" s="15">
        <f t="shared" si="0"/>
        <v>166</v>
      </c>
    </row>
    <row r="16" spans="2:7" x14ac:dyDescent="0.45">
      <c r="B16" s="15" t="s">
        <v>156</v>
      </c>
      <c r="C16" s="15">
        <f>Sheet1!D121+Sheet1!G121</f>
        <v>262.7</v>
      </c>
      <c r="D16" s="15">
        <f>Sheet1!J121</f>
        <v>10975</v>
      </c>
      <c r="E16" s="15">
        <v>419.96</v>
      </c>
      <c r="F16" s="15">
        <f>5684+3162</f>
        <v>8846</v>
      </c>
      <c r="G16" s="15">
        <f t="shared" si="0"/>
        <v>2129</v>
      </c>
    </row>
    <row r="17" spans="2:7" x14ac:dyDescent="0.45">
      <c r="B17" s="15" t="s">
        <v>157</v>
      </c>
      <c r="C17" s="15">
        <f>Sheet1!D122+Sheet1!G122</f>
        <v>98.48</v>
      </c>
      <c r="D17" s="15">
        <f>Sheet1!J122</f>
        <v>7674</v>
      </c>
      <c r="E17" s="15">
        <v>218.73</v>
      </c>
      <c r="F17" s="15">
        <f>4406+2734</f>
        <v>7140</v>
      </c>
      <c r="G17" s="15">
        <f t="shared" si="0"/>
        <v>534</v>
      </c>
    </row>
    <row r="18" spans="2:7" x14ac:dyDescent="0.45">
      <c r="B18" s="3" t="s">
        <v>92</v>
      </c>
      <c r="C18" s="15">
        <f>Sheet1!D58+Sheet1!G58</f>
        <v>6.43</v>
      </c>
      <c r="D18" s="15">
        <f>Sheet1!J58</f>
        <v>2043</v>
      </c>
      <c r="E18" s="18">
        <v>8.5500000000000007</v>
      </c>
      <c r="F18">
        <f>1052+991</f>
        <v>2043</v>
      </c>
    </row>
    <row r="19" spans="2:7" x14ac:dyDescent="0.45">
      <c r="B19" s="3" t="s">
        <v>93</v>
      </c>
      <c r="C19" s="15">
        <f>Sheet1!D59+Sheet1!G59</f>
        <v>40.26</v>
      </c>
      <c r="D19" s="15">
        <f>Sheet1!J59</f>
        <v>6273</v>
      </c>
      <c r="E19" s="18">
        <v>46.09</v>
      </c>
      <c r="F19">
        <f>4452+1821</f>
        <v>6273</v>
      </c>
    </row>
    <row r="20" spans="2:7" x14ac:dyDescent="0.45">
      <c r="B20" s="3" t="s">
        <v>94</v>
      </c>
      <c r="C20" s="15">
        <f>Sheet1!D60+Sheet1!G60</f>
        <v>7.36</v>
      </c>
      <c r="D20" s="15">
        <f>Sheet1!J60</f>
        <v>1212</v>
      </c>
      <c r="E20" s="18">
        <v>10.28</v>
      </c>
      <c r="F20">
        <f>527+685</f>
        <v>1212</v>
      </c>
    </row>
    <row r="21" spans="2:7" x14ac:dyDescent="0.45">
      <c r="B21" s="3" t="s">
        <v>95</v>
      </c>
      <c r="C21" s="15">
        <f>Sheet1!D61+Sheet1!G61</f>
        <v>16.48</v>
      </c>
      <c r="D21" s="15">
        <f>Sheet1!J61</f>
        <v>3508</v>
      </c>
      <c r="E21" s="18">
        <v>19.79</v>
      </c>
      <c r="F21">
        <f>2323+1185</f>
        <v>3508</v>
      </c>
    </row>
    <row r="22" spans="2:7" x14ac:dyDescent="0.45">
      <c r="B22" s="3" t="s">
        <v>96</v>
      </c>
      <c r="C22" s="15">
        <f>Sheet1!D62+Sheet1!G62</f>
        <v>17.14</v>
      </c>
      <c r="D22" s="15">
        <f>Sheet1!J62</f>
        <v>3319</v>
      </c>
      <c r="E22" s="18">
        <v>21.59</v>
      </c>
      <c r="F22">
        <f>1959+1360</f>
        <v>3319</v>
      </c>
    </row>
    <row r="30" spans="2:7" x14ac:dyDescent="0.45">
      <c r="B30" s="15"/>
      <c r="C30" s="15" t="s">
        <v>202</v>
      </c>
      <c r="D30" s="15" t="s">
        <v>204</v>
      </c>
      <c r="E30" s="15" t="s">
        <v>201</v>
      </c>
      <c r="F30" s="15" t="s">
        <v>204</v>
      </c>
    </row>
    <row r="31" spans="2:7" x14ac:dyDescent="0.45">
      <c r="B31" s="3" t="s">
        <v>203</v>
      </c>
      <c r="C31">
        <f>AVERAGE(C18:C22)</f>
        <v>17.533999999999999</v>
      </c>
      <c r="D31">
        <f>ROUND(AVERAGE(D18:D22),1)</f>
        <v>3271</v>
      </c>
      <c r="E31">
        <f>AVERAGE(E18:E22)</f>
        <v>21.26</v>
      </c>
      <c r="F31">
        <f>ROUND(AVERAGE(F18:F22),1)</f>
        <v>3271</v>
      </c>
    </row>
    <row r="32" spans="2:7" x14ac:dyDescent="0.45">
      <c r="B32" s="3" t="s">
        <v>51</v>
      </c>
      <c r="C32" s="15">
        <f>ROUND(AVERAGE(C8:C12),2)</f>
        <v>264.58</v>
      </c>
      <c r="D32" s="15">
        <f>ROUND(AVERAGE(D8:D12),1)</f>
        <v>18465.8</v>
      </c>
      <c r="E32" s="15">
        <f>ROUND(AVERAGE(E8:E12),2)</f>
        <v>332.7</v>
      </c>
      <c r="F32" s="15">
        <f>ROUND(AVERAGE(F8:F12),1)</f>
        <v>18432.599999999999</v>
      </c>
    </row>
    <row r="33" spans="2:6" x14ac:dyDescent="0.45">
      <c r="B33" s="15" t="s">
        <v>74</v>
      </c>
      <c r="C33" s="15">
        <f>ROUND(AVERAGE(C13:C17),1)</f>
        <v>176.2</v>
      </c>
      <c r="D33" s="15">
        <f>ROUND(AVERAGE(D13:D17),1)</f>
        <v>6452.6</v>
      </c>
      <c r="E33" s="15">
        <f>ROUND(AVERAGE(E13:E17),1)</f>
        <v>350.7</v>
      </c>
      <c r="F33" s="15">
        <f>ROUND(AVERAGE(F13:F17),1)</f>
        <v>5517.8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Conor K</cp:lastModifiedBy>
  <dcterms:created xsi:type="dcterms:W3CDTF">2025-11-19T08:48:00Z</dcterms:created>
  <dcterms:modified xsi:type="dcterms:W3CDTF">2026-02-04T09:49:25Z</dcterms:modified>
</cp:coreProperties>
</file>