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dc2057430e44be2f/Documents/Year 4/Publishing/MATH3205_MPDPTW_Project-main/MATH3205_MPDPTW_Project-main/"/>
    </mc:Choice>
  </mc:AlternateContent>
  <xr:revisionPtr revIDLastSave="353" documentId="11_4CF1F1AFD390D8157F783A11595ED87656CD695B" xr6:coauthVersionLast="47" xr6:coauthVersionMax="47" xr10:uidLastSave="{40963CF3-4809-4C09-A7FF-3C5E9FA219F4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K26" i="1" a="1"/>
  <c r="K26" i="1" s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K25" i="1" a="1"/>
  <c r="K25" i="1" s="1"/>
  <c r="K24" i="1" a="1"/>
  <c r="K24" i="1" s="1"/>
  <c r="K23" i="1" a="1"/>
  <c r="K23" i="1" s="1"/>
  <c r="K22" i="1" a="1"/>
  <c r="K22" i="1" s="1"/>
  <c r="K21" i="1" a="1"/>
  <c r="K21" i="1" s="1"/>
  <c r="K20" i="1" a="1"/>
  <c r="K20" i="1" s="1"/>
  <c r="K19" i="1" a="1"/>
  <c r="K19" i="1" s="1"/>
  <c r="K18" i="1" a="1"/>
  <c r="K18" i="1" s="1"/>
  <c r="K17" i="1" a="1"/>
  <c r="K17" i="1" s="1"/>
  <c r="K16" i="1" a="1"/>
  <c r="K16" i="1" s="1"/>
  <c r="K15" i="1" a="1"/>
  <c r="K15" i="1" s="1"/>
  <c r="K14" i="1" a="1"/>
  <c r="K14" i="1" s="1"/>
  <c r="K13" i="1" a="1"/>
  <c r="K13" i="1" s="1"/>
  <c r="K12" i="1" a="1"/>
  <c r="K12" i="1" s="1"/>
  <c r="K11" i="1" a="1"/>
  <c r="K11" i="1" s="1"/>
  <c r="K10" i="1" a="1"/>
  <c r="K10" i="1" s="1"/>
  <c r="K9" i="1" a="1"/>
  <c r="K9" i="1" s="1"/>
  <c r="K8" i="1" a="1"/>
  <c r="K8" i="1" s="1"/>
  <c r="K7" i="1" a="1"/>
  <c r="K7" i="1" s="1"/>
  <c r="K6" i="1" a="1"/>
  <c r="K6" i="1" s="1"/>
  <c r="K5" i="1" a="1"/>
  <c r="K5" i="1" s="1"/>
  <c r="K4" i="1" a="1"/>
  <c r="K4" i="1" s="1"/>
  <c r="K3" i="1" a="1"/>
  <c r="K3" i="1" s="1"/>
  <c r="L4" i="1"/>
  <c r="M43" i="1"/>
  <c r="L48" i="1"/>
  <c r="M48" i="1" s="1"/>
  <c r="N43" i="1"/>
  <c r="M32" i="1"/>
  <c r="N42" i="1"/>
  <c r="M42" i="1"/>
  <c r="N41" i="1"/>
  <c r="N34" i="1"/>
  <c r="N33" i="1"/>
  <c r="N32" i="1"/>
  <c r="M41" i="1"/>
  <c r="M35" i="1"/>
  <c r="M34" i="1"/>
  <c r="M33" i="1"/>
  <c r="O9" i="1" l="1"/>
  <c r="O10" i="1"/>
  <c r="R5" i="1"/>
  <c r="R4" i="1"/>
  <c r="R3" i="1"/>
  <c r="O6" i="1"/>
  <c r="O5" i="1"/>
  <c r="O4" i="1"/>
  <c r="O3" i="1"/>
  <c r="M44" i="1"/>
  <c r="L4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<sst xmlns="http://schemas.openxmlformats.org/spreadsheetml/2006/main" count="307" uniqueCount="185">
  <si>
    <t>Instance</t>
  </si>
  <si>
    <t>Sts</t>
  </si>
  <si>
    <t>Obj</t>
  </si>
  <si>
    <t>Time
(s)</t>
  </si>
  <si>
    <t>Iterations</t>
  </si>
  <si>
    <t>Extra Time
(s)</t>
  </si>
  <si>
    <t>l_4_25_1</t>
  </si>
  <si>
    <t>l_4_25_2</t>
  </si>
  <si>
    <t>l_4_25_3</t>
  </si>
  <si>
    <t>l_4_25_4</t>
  </si>
  <si>
    <t>l_4_25_5</t>
  </si>
  <si>
    <t>l_4_35_1</t>
  </si>
  <si>
    <t>l_4_35_2</t>
  </si>
  <si>
    <t>l_4_35_3</t>
  </si>
  <si>
    <t>l_4_35_4</t>
  </si>
  <si>
    <t>l_4_35_5</t>
  </si>
  <si>
    <t>l_4_50_1</t>
  </si>
  <si>
    <t>l_4_50_2</t>
  </si>
  <si>
    <t>l_4_50_3</t>
  </si>
  <si>
    <t>l_4_50_4</t>
  </si>
  <si>
    <t>l_4_50_5</t>
  </si>
  <si>
    <t>l_4_100_1</t>
  </si>
  <si>
    <t>l_4_100_2</t>
  </si>
  <si>
    <t>l_4_100_3</t>
  </si>
  <si>
    <t>l_4_100_4</t>
  </si>
  <si>
    <t>l_4_100_5</t>
  </si>
  <si>
    <t>l_8_25_1</t>
  </si>
  <si>
    <t>l_8_25_2</t>
  </si>
  <si>
    <t>l_8_25_3</t>
  </si>
  <si>
    <t>l_8_25_4</t>
  </si>
  <si>
    <t>l_8_25_5</t>
  </si>
  <si>
    <t>l_8_35_1</t>
  </si>
  <si>
    <t>l_8_35_2</t>
  </si>
  <si>
    <t>l_8_35_3</t>
  </si>
  <si>
    <t>l_8_35_4</t>
  </si>
  <si>
    <t>l_8_35_5</t>
  </si>
  <si>
    <t>l_8_50_1</t>
  </si>
  <si>
    <t>l_8_50_2</t>
  </si>
  <si>
    <t>l_8_50_3</t>
  </si>
  <si>
    <t>l_8_50_4</t>
  </si>
  <si>
    <t>l_8_50_5</t>
  </si>
  <si>
    <t>l_8_100_1</t>
  </si>
  <si>
    <t>l_8_100_2</t>
  </si>
  <si>
    <t>l_8_100_3</t>
  </si>
  <si>
    <t>l_8_100_4</t>
  </si>
  <si>
    <t>l_8_100_5</t>
  </si>
  <si>
    <t>n_4_25_1</t>
  </si>
  <si>
    <t>n_4_25_2</t>
  </si>
  <si>
    <t>n_4_25_3</t>
  </si>
  <si>
    <t>n_4_25_4</t>
  </si>
  <si>
    <t>n_4_25_5</t>
  </si>
  <si>
    <t>n_4_35_1</t>
  </si>
  <si>
    <t>n_4_35_2</t>
  </si>
  <si>
    <t>n_4_35_3</t>
  </si>
  <si>
    <t>n_4_35_4</t>
  </si>
  <si>
    <t>n_4_35_5</t>
  </si>
  <si>
    <t>n_4_50_1</t>
  </si>
  <si>
    <t>n_4_50_2</t>
  </si>
  <si>
    <t>n_4_50_3</t>
  </si>
  <si>
    <t>n_4_50_4</t>
  </si>
  <si>
    <t>n_4_50_5</t>
  </si>
  <si>
    <t>n_4_100_1</t>
  </si>
  <si>
    <t>n_4_100_2</t>
  </si>
  <si>
    <t>n_4_100_3</t>
  </si>
  <si>
    <t>n_4_100_4</t>
  </si>
  <si>
    <t>n_4_100_5</t>
  </si>
  <si>
    <t>n_8_25_1</t>
  </si>
  <si>
    <t>n_8_25_2</t>
  </si>
  <si>
    <t>n_8_25_3</t>
  </si>
  <si>
    <t>n_8_25_4</t>
  </si>
  <si>
    <t>n_8_25_5</t>
  </si>
  <si>
    <t>n_8_35_1</t>
  </si>
  <si>
    <t>n_8_35_2</t>
  </si>
  <si>
    <t>n_8_35_3</t>
  </si>
  <si>
    <t>n_8_35_4</t>
  </si>
  <si>
    <t>n_8_35_5</t>
  </si>
  <si>
    <t>n_8_50_1</t>
  </si>
  <si>
    <t>n_8_50_2</t>
  </si>
  <si>
    <t>n_8_50_3</t>
  </si>
  <si>
    <t>n_8_50_4</t>
  </si>
  <si>
    <t>n_8_50_5</t>
  </si>
  <si>
    <t>n_8_100_1</t>
  </si>
  <si>
    <t>n_8_100_2</t>
  </si>
  <si>
    <t>n_8_100_3</t>
  </si>
  <si>
    <t>n_8_100_4</t>
  </si>
  <si>
    <t>n_8_100_5</t>
  </si>
  <si>
    <t>w_4_25_1</t>
  </si>
  <si>
    <t>w_4_25_2</t>
  </si>
  <si>
    <t>w_4_25_3</t>
  </si>
  <si>
    <t>w_4_25_4</t>
  </si>
  <si>
    <t>w_4_25_5</t>
  </si>
  <si>
    <t>w_4_35_1</t>
  </si>
  <si>
    <t>w_4_35_2</t>
  </si>
  <si>
    <t>w_4_35_3</t>
  </si>
  <si>
    <t>w_4_35_4</t>
  </si>
  <si>
    <t>w_4_35_5</t>
  </si>
  <si>
    <t>w_4_50_1</t>
  </si>
  <si>
    <t>w_4_50_2</t>
  </si>
  <si>
    <t>w_4_50_3</t>
  </si>
  <si>
    <t>w_4_50_4</t>
  </si>
  <si>
    <t>w_4_50_5</t>
  </si>
  <si>
    <t>w_4_100_1</t>
  </si>
  <si>
    <t>w_4_100_2</t>
  </si>
  <si>
    <t>w_4_100_3</t>
  </si>
  <si>
    <t>w_4_100_4</t>
  </si>
  <si>
    <t>w_4_100_5</t>
  </si>
  <si>
    <t>w_8_25_1</t>
  </si>
  <si>
    <t>w_8_25_2</t>
  </si>
  <si>
    <t>w_8_25_3</t>
  </si>
  <si>
    <t>w_8_25_4</t>
  </si>
  <si>
    <t>w_8_25_5</t>
  </si>
  <si>
    <t>w_8_35_1</t>
  </si>
  <si>
    <t>w_8_35_2</t>
  </si>
  <si>
    <t>w_8_35_3</t>
  </si>
  <si>
    <t>w_8_35_4</t>
  </si>
  <si>
    <t>w_8_35_5</t>
  </si>
  <si>
    <t>w_8_50_1</t>
  </si>
  <si>
    <t>w_8_50_2</t>
  </si>
  <si>
    <t>w_8_50_3</t>
  </si>
  <si>
    <t>w_8_50_4</t>
  </si>
  <si>
    <t>w_8_50_5</t>
  </si>
  <si>
    <t>w_8_100_1</t>
  </si>
  <si>
    <t>w_8_100_2</t>
  </si>
  <si>
    <t>w_8_100_3</t>
  </si>
  <si>
    <t>w_8_100_4</t>
  </si>
  <si>
    <t>w_8_100_5</t>
  </si>
  <si>
    <t>l_4_200_1</t>
  </si>
  <si>
    <t>l_4_200_2</t>
  </si>
  <si>
    <t>l_4_200_3</t>
  </si>
  <si>
    <t>l_4_200_4</t>
  </si>
  <si>
    <t>l_4_200_5</t>
  </si>
  <si>
    <t>l_8_200_1</t>
  </si>
  <si>
    <t>l_8_200_2</t>
  </si>
  <si>
    <t>l_8_200_3</t>
  </si>
  <si>
    <t>l_8_200_4</t>
  </si>
  <si>
    <t>l_8_200_5</t>
  </si>
  <si>
    <t>n_4_200_1</t>
  </si>
  <si>
    <t>n_4_200_2</t>
  </si>
  <si>
    <t>n_4_200_3</t>
  </si>
  <si>
    <t>n_4_200_4</t>
  </si>
  <si>
    <t>n_4_200_5</t>
  </si>
  <si>
    <t>n_8_200_1</t>
  </si>
  <si>
    <t>n_8_200_2</t>
  </si>
  <si>
    <t>n_8_200_3</t>
  </si>
  <si>
    <t>n_8_200_4</t>
  </si>
  <si>
    <t>n_8_200_5</t>
  </si>
  <si>
    <t>w_4_200_1</t>
  </si>
  <si>
    <t>w_4_200_2</t>
  </si>
  <si>
    <t>w_4_200_3</t>
  </si>
  <si>
    <t>w_4_200_4</t>
  </si>
  <si>
    <t>w_4_200_5</t>
  </si>
  <si>
    <t>w_8_200_1</t>
  </si>
  <si>
    <t>w_8_200_2</t>
  </si>
  <si>
    <t>w_8_200_3</t>
  </si>
  <si>
    <t>w_8_200_4</t>
  </si>
  <si>
    <t>w_8_200_5</t>
  </si>
  <si>
    <t>~</t>
  </si>
  <si>
    <t>l_4_100</t>
  </si>
  <si>
    <t>l_8_50</t>
  </si>
  <si>
    <t>l_8_100</t>
  </si>
  <si>
    <t>n_8_35</t>
  </si>
  <si>
    <t>n_8_50</t>
  </si>
  <si>
    <t>n_8_100</t>
  </si>
  <si>
    <t>w_4_35</t>
  </si>
  <si>
    <t>w_4_50</t>
  </si>
  <si>
    <t>w_8_25</t>
  </si>
  <si>
    <t>w_8_35</t>
  </si>
  <si>
    <t>w_8_50</t>
  </si>
  <si>
    <t>w_8_100</t>
  </si>
  <si>
    <t>l_8_200</t>
  </si>
  <si>
    <t>n_4_200</t>
  </si>
  <si>
    <t>n_8_200</t>
  </si>
  <si>
    <t>Avg Extra Time</t>
  </si>
  <si>
    <t>Avg Iterations</t>
  </si>
  <si>
    <t>Total/Avg</t>
  </si>
  <si>
    <t>Total Columns Generated</t>
  </si>
  <si>
    <t>Nodes</t>
  </si>
  <si>
    <t>Size</t>
  </si>
  <si>
    <t>L</t>
  </si>
  <si>
    <t>N</t>
  </si>
  <si>
    <t>W</t>
  </si>
  <si>
    <t>Req Len</t>
  </si>
  <si>
    <t>Avg Number of Valid Routes</t>
  </si>
  <si>
    <t>Instance type</t>
  </si>
  <si>
    <t xml:space="preserve">Instances requiring reruns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</si>
</sst>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0" borderId="1" xfId="0" applyBorder="1"/>
    <xf numFmtId="0" fontId="0" fillId="0" borderId="3" xfId="0" applyBorder="1"/>
    <xf numFmtId="0" fontId="0" fillId="2" borderId="3" xfId="0" applyFill="1" applyBorder="1"/>
    <xf numFmtId="0" fontId="0" fillId="0" borderId="2" xfId="0" applyBorder="1"/>
    <xf numFmtId="0" fontId="0" fillId="2" borderId="2" xfId="0" applyFill="1" applyBorder="1"/>
    <xf numFmtId="0" fontId="2" fillId="0" borderId="1" xfId="0" applyFont="1" applyBorder="1"/>
    <xf numFmtId="0" fontId="2" fillId="2" borderId="1" xfId="0" applyFont="1" applyFill="1" applyBorder="1"/>
    <xf numFmtId="164" fontId="3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2"/>
  <sheetViews>
    <sheetView tabSelected="1" topLeftCell="G1" zoomScale="108" zoomScaleNormal="130" workbookViewId="0">
      <selection activeCell="A3" sqref="A3"/>
    </sheetView>
  </sheetViews>
  <sheetFormatPr defaultRowHeight="15" x14ac:dyDescent="0.25"/>
  <cols>
    <col min="2" max="2" width="14.7109375" customWidth="1"/>
    <col min="3" max="3" width="32.85546875" bestFit="1" customWidth="1"/>
    <col min="5" max="5" width="17" customWidth="1"/>
    <col min="6" max="6" width="36.5703125" customWidth="1"/>
    <col min="8" max="8" width="18.85546875" customWidth="1"/>
    <col min="9" max="9" width="32.7109375" customWidth="1"/>
    <col min="11" max="11" width="25.140625" customWidth="1"/>
    <col min="12" max="12" width="27" customWidth="1"/>
    <col min="13" max="13" width="18.85546875" customWidth="1"/>
    <col min="14" max="14" width="26.140625" customWidth="1"/>
    <col min="15" max="15" width="28.140625" customWidth="1"/>
    <col min="16" max="16" width="11" customWidth="1"/>
    <col min="17" max="17" width="26.140625" customWidth="1"/>
    <col min="18" max="18" width="27.710937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</row>
    <row r="2" spans="1:18" x14ac:dyDescent="0.25">
      <c r="B2" s="8" t="s">
        <v>0</v>
      </c>
      <c r="C2" s="9" t="s">
        <v>1</v>
      </c>
      <c r="D2" s="8" t="s">
        <v>2</v>
      </c>
      <c r="E2" s="9" t="s">
        <v>3</v>
      </c>
      <c r="F2" s="8" t="s">
        <v>4</v>
      </c>
      <c r="G2" s="9" t="s">
        <v>2</v>
      </c>
      <c r="H2" s="8" t="s">
        <v>5</v>
      </c>
      <c r="I2" s="10" t="s">
        <v>175</v>
      </c>
      <c r="K2" s="3" t="s">
        <v>0</v>
      </c>
      <c r="L2" s="3" t="s">
        <v>182</v>
      </c>
      <c r="N2" s="3" t="s">
        <v>176</v>
      </c>
      <c r="O2" s="3" t="s">
        <v>182</v>
      </c>
      <c r="Q2" s="3" t="s">
        <v>177</v>
      </c>
      <c r="R2" s="3" t="s">
        <v>182</v>
      </c>
    </row>
    <row r="3" spans="1:18" x14ac:dyDescent="0.25">
      <c r="B3" s="3" t="s">
        <v>6</v>
      </c>
      <c r="C3" s="2">
        <v>1</v>
      </c>
      <c r="D3" s="3">
        <v>4585.8500000000004</v>
      </c>
      <c r="E3" s="2">
        <v>1.34</v>
      </c>
      <c r="F3" s="3">
        <v>0</v>
      </c>
      <c r="G3" s="2">
        <v>4585.8500000000004</v>
      </c>
      <c r="H3" s="3">
        <v>0</v>
      </c>
      <c r="I3" s="2">
        <v>41</v>
      </c>
      <c r="K3" s="3" t="str" cm="1">
        <f t="array" ref="K3">LEFT(INDEX($B:$B, ROW($B$3) + (ROW()-ROW($H$3))*5), LEN(INDEX($B:$B, ROW($B$3) + (ROW()-ROW($H$3))*5))-2)</f>
        <v>l_4_25</v>
      </c>
      <c r="L3" s="3">
        <f ca="1">AVERAGE(OFFSET($I$3,(ROW()-ROW($K$3))*5,0,5,1))</f>
        <v>75.599999999999994</v>
      </c>
      <c r="N3" s="3">
        <v>25</v>
      </c>
      <c r="O3" s="3">
        <f ca="1">ROUND(AVERAGE(L3,L7,L11,L19,L23,L15),1)</f>
        <v>74</v>
      </c>
      <c r="Q3" s="3" t="s">
        <v>178</v>
      </c>
      <c r="R3" s="3">
        <f ca="1">ROUND(AVERAGE(L3:L10),1)</f>
        <v>1673.4</v>
      </c>
    </row>
    <row r="4" spans="1:18" x14ac:dyDescent="0.25">
      <c r="B4" s="3" t="s">
        <v>7</v>
      </c>
      <c r="C4" s="2">
        <v>1</v>
      </c>
      <c r="D4" s="3">
        <v>4017.93</v>
      </c>
      <c r="E4" s="2">
        <v>2.52</v>
      </c>
      <c r="F4" s="3">
        <v>0</v>
      </c>
      <c r="G4" s="2">
        <v>4017.93</v>
      </c>
      <c r="H4" s="3">
        <v>0</v>
      </c>
      <c r="I4" s="2">
        <v>119</v>
      </c>
      <c r="K4" s="3" t="str" cm="1">
        <f t="array" ref="K4">LEFT(INDEX($B:$B, ROW($B$3) + (ROW()-ROW($H$3))*5), LEN(INDEX($B:$B, ROW($B$3) + (ROW()-ROW($H$3))*5))-2)</f>
        <v>l_4_35</v>
      </c>
      <c r="L4" s="3">
        <f ca="1">AVERAGE(OFFSET($I$3,(ROW()-ROW($K$3))*5,0,5,1))</f>
        <v>204.8</v>
      </c>
      <c r="N4" s="3">
        <v>35</v>
      </c>
      <c r="O4" s="3">
        <f ca="1">ROUND(AVERAGE(L4,L8,L12,L20,L24,L16),1)</f>
        <v>328.2</v>
      </c>
      <c r="Q4" s="3" t="s">
        <v>179</v>
      </c>
      <c r="R4" s="3">
        <f ca="1">ROUND(AVERAGE(L11:L18),1)</f>
        <v>309.89999999999998</v>
      </c>
    </row>
    <row r="5" spans="1:18" x14ac:dyDescent="0.25">
      <c r="B5" s="3" t="s">
        <v>8</v>
      </c>
      <c r="C5" s="2">
        <v>1</v>
      </c>
      <c r="D5" s="3">
        <v>4713.75</v>
      </c>
      <c r="E5" s="2">
        <v>1.1399999999999999</v>
      </c>
      <c r="F5" s="3">
        <v>0</v>
      </c>
      <c r="G5" s="2">
        <v>4713.75</v>
      </c>
      <c r="H5" s="3">
        <v>0</v>
      </c>
      <c r="I5" s="2">
        <v>43</v>
      </c>
      <c r="K5" s="3" t="str" cm="1">
        <f t="array" ref="K5">LEFT(INDEX($B:$B, ROW($B$3) + (ROW()-ROW($H$3))*5), LEN(INDEX($B:$B, ROW($B$3) + (ROW()-ROW($H$3))*5))-2)</f>
        <v>l_4_50</v>
      </c>
      <c r="L5" s="3">
        <f ca="1">AVERAGE(OFFSET($I$3,(ROW()-ROW($K$3))*5,0,5,1))</f>
        <v>565.20000000000005</v>
      </c>
      <c r="N5" s="3">
        <v>50</v>
      </c>
      <c r="O5" s="3">
        <f ca="1">ROUND(AVERAGE(L5,L9,L13,L21,L25,L17),1)</f>
        <v>1494.5</v>
      </c>
      <c r="Q5" s="3" t="s">
        <v>180</v>
      </c>
      <c r="R5" s="3">
        <f ca="1">ROUND((5*SUM(L19:L21,L23:L26) +L22)/36,1)</f>
        <v>3805</v>
      </c>
    </row>
    <row r="6" spans="1:18" x14ac:dyDescent="0.25">
      <c r="B6" s="3" t="s">
        <v>9</v>
      </c>
      <c r="C6" s="2">
        <v>1</v>
      </c>
      <c r="D6" s="3">
        <v>3872.6</v>
      </c>
      <c r="E6" s="2">
        <v>0.92</v>
      </c>
      <c r="F6" s="3">
        <v>0</v>
      </c>
      <c r="G6" s="2">
        <v>3872.6</v>
      </c>
      <c r="H6" s="3">
        <v>0</v>
      </c>
      <c r="I6" s="2">
        <v>77</v>
      </c>
      <c r="K6" s="3" t="str" cm="1">
        <f t="array" ref="K6">LEFT(INDEX($B:$B, ROW($B$3) + (ROW()-ROW($H$3))*5), LEN(INDEX($B:$B, ROW($B$3) + (ROW()-ROW($H$3))*5))-2)</f>
        <v>l_4_100</v>
      </c>
      <c r="L6" s="3">
        <f ca="1">AVERAGE(OFFSET($I$3,(ROW()-ROW($K$3))*5,0,5,1))</f>
        <v>12148.8</v>
      </c>
      <c r="N6" s="3">
        <v>100</v>
      </c>
      <c r="O6" s="3">
        <f ca="1">ROUND((5*SUM(L6,L10,L14,L26,L18)+L22)/26,1)</f>
        <v>6131.1</v>
      </c>
    </row>
    <row r="7" spans="1:18" x14ac:dyDescent="0.25">
      <c r="B7" s="3" t="s">
        <v>10</v>
      </c>
      <c r="C7" s="2">
        <v>1</v>
      </c>
      <c r="D7" s="3">
        <v>3397.66</v>
      </c>
      <c r="E7" s="2">
        <v>2.5299999999999998</v>
      </c>
      <c r="F7" s="3">
        <v>0</v>
      </c>
      <c r="G7" s="2">
        <v>3397.66</v>
      </c>
      <c r="H7" s="3">
        <v>0</v>
      </c>
      <c r="I7" s="2">
        <v>98</v>
      </c>
      <c r="K7" s="3" t="str" cm="1">
        <f t="array" ref="K7">LEFT(INDEX($B:$B, ROW($B$3) + (ROW()-ROW($H$3))*5), LEN(INDEX($B:$B, ROW($B$3) + (ROW()-ROW($H$3))*5))-2)</f>
        <v>l_8_25</v>
      </c>
      <c r="L7" s="3">
        <f ca="1">AVERAGE(OFFSET($I$3,(ROW()-ROW($K$3))*5,0,5,1))</f>
        <v>19</v>
      </c>
    </row>
    <row r="8" spans="1:18" x14ac:dyDescent="0.25">
      <c r="B8" s="3" t="s">
        <v>11</v>
      </c>
      <c r="C8" s="2">
        <v>1</v>
      </c>
      <c r="D8" s="3">
        <v>5791.61</v>
      </c>
      <c r="E8" s="2">
        <v>2.77</v>
      </c>
      <c r="F8" s="3">
        <v>0</v>
      </c>
      <c r="G8" s="2">
        <v>5791.61</v>
      </c>
      <c r="H8" s="3">
        <v>0</v>
      </c>
      <c r="I8" s="2">
        <v>156</v>
      </c>
      <c r="K8" s="3" t="str" cm="1">
        <f t="array" ref="K8">LEFT(INDEX($B:$B, ROW($B$3) + (ROW()-ROW($H$3))*5), LEN(INDEX($B:$B, ROW($B$3) + (ROW()-ROW($H$3))*5))-2)</f>
        <v>l_8_35</v>
      </c>
      <c r="L8" s="3">
        <f ca="1">AVERAGE(OFFSET($I$3,(ROW()-ROW($K$3))*5,0,5,1))</f>
        <v>20.8</v>
      </c>
      <c r="N8" s="3" t="s">
        <v>181</v>
      </c>
      <c r="O8" s="3" t="s">
        <v>182</v>
      </c>
    </row>
    <row r="9" spans="1:18" x14ac:dyDescent="0.25">
      <c r="B9" s="3" t="s">
        <v>12</v>
      </c>
      <c r="C9" s="2">
        <v>1</v>
      </c>
      <c r="D9" s="3">
        <v>5470.93</v>
      </c>
      <c r="E9" s="2">
        <v>1.96</v>
      </c>
      <c r="F9" s="3">
        <v>0</v>
      </c>
      <c r="G9" s="2">
        <v>5470.93</v>
      </c>
      <c r="H9" s="3">
        <v>0</v>
      </c>
      <c r="I9" s="2">
        <v>83</v>
      </c>
      <c r="K9" s="3" t="str" cm="1">
        <f t="array" ref="K9">LEFT(INDEX($B:$B, ROW($B$3) + (ROW()-ROW($H$3))*5), LEN(INDEX($B:$B, ROW($B$3) + (ROW()-ROW($H$3))*5))-2)</f>
        <v>l_8_50</v>
      </c>
      <c r="L9" s="3">
        <f ca="1">AVERAGE(OFFSET($I$3,(ROW()-ROW($K$3))*5,0,5,1))</f>
        <v>59.6</v>
      </c>
      <c r="N9" s="3">
        <v>4</v>
      </c>
      <c r="O9" s="3">
        <f ca="1">ROUND((5*SUM(L3:L6,L11:L14,L19:L21)+L22)/56,1)</f>
        <v>3424.9</v>
      </c>
    </row>
    <row r="10" spans="1:18" x14ac:dyDescent="0.25">
      <c r="B10" s="3" t="s">
        <v>13</v>
      </c>
      <c r="C10" s="2">
        <v>1</v>
      </c>
      <c r="D10" s="3">
        <v>5387.35</v>
      </c>
      <c r="E10" s="2">
        <v>4.47</v>
      </c>
      <c r="F10" s="3">
        <v>0</v>
      </c>
      <c r="G10" s="2">
        <v>5387.35</v>
      </c>
      <c r="H10" s="3">
        <v>0</v>
      </c>
      <c r="I10" s="2">
        <v>227</v>
      </c>
      <c r="K10" s="3" t="str" cm="1">
        <f t="array" ref="K10">LEFT(INDEX($B:$B, ROW($B$3) + (ROW()-ROW($H$3))*5), LEN(INDEX($B:$B, ROW($B$3) + (ROW()-ROW($H$3))*5))-2)</f>
        <v>l_8_100</v>
      </c>
      <c r="L10" s="3">
        <f ca="1">AVERAGE(OFFSET($I$3,(ROW()-ROW($K$3))*5,0,5,1))</f>
        <v>293</v>
      </c>
      <c r="N10" s="3">
        <v>8</v>
      </c>
      <c r="O10" s="3">
        <f ca="1">ROUND(AVERAGE(L7:L10,L15:L18,L23:L26),1)</f>
        <v>408.6</v>
      </c>
    </row>
    <row r="11" spans="1:18" x14ac:dyDescent="0.25">
      <c r="B11" s="3" t="s">
        <v>14</v>
      </c>
      <c r="C11" s="2">
        <v>1</v>
      </c>
      <c r="D11" s="3">
        <v>6257.5</v>
      </c>
      <c r="E11" s="2">
        <v>3.05</v>
      </c>
      <c r="F11" s="3">
        <v>0</v>
      </c>
      <c r="G11" s="2">
        <v>6257.5</v>
      </c>
      <c r="H11" s="3">
        <v>0</v>
      </c>
      <c r="I11" s="2">
        <v>204</v>
      </c>
      <c r="K11" s="3" t="str" cm="1">
        <f t="array" ref="K11">LEFT(INDEX($B:$B, ROW($B$3) + (ROW()-ROW($H$3))*5), LEN(INDEX($B:$B, ROW($B$3) + (ROW()-ROW($H$3))*5))-2)</f>
        <v>n_4_25</v>
      </c>
      <c r="L11" s="3">
        <f ca="1">AVERAGE(OFFSET($I$3,(ROW()-ROW($K$3))*5,0,5,1))</f>
        <v>36.200000000000003</v>
      </c>
    </row>
    <row r="12" spans="1:18" x14ac:dyDescent="0.25">
      <c r="B12" s="3" t="s">
        <v>15</v>
      </c>
      <c r="C12" s="2">
        <v>1</v>
      </c>
      <c r="D12" s="3">
        <v>5368.02</v>
      </c>
      <c r="E12" s="2">
        <v>5.7</v>
      </c>
      <c r="F12" s="3">
        <v>0</v>
      </c>
      <c r="G12" s="2">
        <v>5368.02</v>
      </c>
      <c r="H12" s="3">
        <v>0</v>
      </c>
      <c r="I12" s="2">
        <v>354</v>
      </c>
      <c r="K12" s="3" t="str" cm="1">
        <f t="array" ref="K12">LEFT(INDEX($B:$B, ROW($B$3) + (ROW()-ROW($H$3))*5), LEN(INDEX($B:$B, ROW($B$3) + (ROW()-ROW($H$3))*5))-2)</f>
        <v>n_4_35</v>
      </c>
      <c r="L12" s="3">
        <f ca="1">AVERAGE(OFFSET($I$3,(ROW()-ROW($K$3))*5,0,5,1))</f>
        <v>55.6</v>
      </c>
    </row>
    <row r="13" spans="1:18" x14ac:dyDescent="0.25">
      <c r="B13" s="3" t="s">
        <v>16</v>
      </c>
      <c r="C13" s="2">
        <v>1</v>
      </c>
      <c r="D13" s="3">
        <v>7351.58</v>
      </c>
      <c r="E13" s="2">
        <v>5.36</v>
      </c>
      <c r="F13" s="3">
        <v>0</v>
      </c>
      <c r="G13" s="2">
        <v>7351.58</v>
      </c>
      <c r="H13" s="3">
        <v>0</v>
      </c>
      <c r="I13" s="2">
        <v>310</v>
      </c>
      <c r="K13" s="3" t="str" cm="1">
        <f t="array" ref="K13">LEFT(INDEX($B:$B, ROW($B$3) + (ROW()-ROW($H$3))*5), LEN(INDEX($B:$B, ROW($B$3) + (ROW()-ROW($H$3))*5))-2)</f>
        <v>n_4_50</v>
      </c>
      <c r="L13" s="3">
        <f ca="1">AVERAGE(OFFSET($I$3,(ROW()-ROW($K$3))*5,0,5,1))</f>
        <v>164.4</v>
      </c>
    </row>
    <row r="14" spans="1:18" x14ac:dyDescent="0.25">
      <c r="B14" s="3" t="s">
        <v>17</v>
      </c>
      <c r="C14" s="2">
        <v>1</v>
      </c>
      <c r="D14" s="3">
        <v>7253.39</v>
      </c>
      <c r="E14" s="2">
        <v>12.56</v>
      </c>
      <c r="F14" s="3">
        <v>0</v>
      </c>
      <c r="G14" s="2">
        <v>7253.39</v>
      </c>
      <c r="H14" s="3">
        <v>0</v>
      </c>
      <c r="I14" s="2">
        <v>835</v>
      </c>
      <c r="K14" s="3" t="str" cm="1">
        <f t="array" ref="K14">LEFT(INDEX($B:$B, ROW($B$3) + (ROW()-ROW($H$3))*5), LEN(INDEX($B:$B, ROW($B$3) + (ROW()-ROW($H$3))*5))-2)</f>
        <v>n_4_100</v>
      </c>
      <c r="L14" s="3">
        <f ca="1">AVERAGE(OFFSET($I$3,(ROW()-ROW($K$3))*5,0,5,1))</f>
        <v>2062.6</v>
      </c>
    </row>
    <row r="15" spans="1:18" x14ac:dyDescent="0.25">
      <c r="B15" s="3" t="s">
        <v>18</v>
      </c>
      <c r="C15" s="2">
        <v>1</v>
      </c>
      <c r="D15" s="3">
        <v>7485.02</v>
      </c>
      <c r="E15" s="2">
        <v>11.78</v>
      </c>
      <c r="F15" s="3">
        <v>0</v>
      </c>
      <c r="G15" s="2">
        <v>7485.02</v>
      </c>
      <c r="H15" s="3">
        <v>0</v>
      </c>
      <c r="I15" s="2">
        <v>483</v>
      </c>
      <c r="K15" s="3" t="str" cm="1">
        <f t="array" ref="K15">LEFT(INDEX($B:$B, ROW($B$3) + (ROW()-ROW($H$3))*5), LEN(INDEX($B:$B, ROW($B$3) + (ROW()-ROW($H$3))*5))-2)</f>
        <v>n_8_25</v>
      </c>
      <c r="L15" s="3">
        <f ca="1">AVERAGE(OFFSET($I$3,(ROW()-ROW($K$3))*5,0,5,1))</f>
        <v>13.4</v>
      </c>
    </row>
    <row r="16" spans="1:18" x14ac:dyDescent="0.25">
      <c r="B16" s="3" t="s">
        <v>19</v>
      </c>
      <c r="C16" s="2">
        <v>1</v>
      </c>
      <c r="D16" s="3">
        <v>6604.94</v>
      </c>
      <c r="E16" s="2">
        <v>9.94</v>
      </c>
      <c r="F16" s="3">
        <v>0</v>
      </c>
      <c r="G16" s="2">
        <v>6604.94</v>
      </c>
      <c r="H16" s="3">
        <v>0</v>
      </c>
      <c r="I16" s="2">
        <v>728</v>
      </c>
      <c r="K16" s="3" t="str" cm="1">
        <f t="array" ref="K16">LEFT(INDEX($B:$B, ROW($B$3) + (ROW()-ROW($H$3))*5), LEN(INDEX($B:$B, ROW($B$3) + (ROW()-ROW($H$3))*5))-2)</f>
        <v>n_8_35</v>
      </c>
      <c r="L16" s="3">
        <f ca="1">AVERAGE(OFFSET($I$3,(ROW()-ROW($K$3))*5,0,5,1))</f>
        <v>15.4</v>
      </c>
    </row>
    <row r="17" spans="2:14" x14ac:dyDescent="0.25">
      <c r="B17" s="3" t="s">
        <v>20</v>
      </c>
      <c r="C17" s="2">
        <v>1</v>
      </c>
      <c r="D17" s="3">
        <v>7370.88</v>
      </c>
      <c r="E17" s="2">
        <v>7.12</v>
      </c>
      <c r="F17" s="3">
        <v>0</v>
      </c>
      <c r="G17" s="2">
        <v>7370.88</v>
      </c>
      <c r="H17" s="3">
        <v>0</v>
      </c>
      <c r="I17" s="2">
        <v>470</v>
      </c>
      <c r="K17" s="3" t="str" cm="1">
        <f t="array" ref="K17">LEFT(INDEX($B:$B, ROW($B$3) + (ROW()-ROW($H$3))*5), LEN(INDEX($B:$B, ROW($B$3) + (ROW()-ROW($H$3))*5))-2)</f>
        <v>n_8_50</v>
      </c>
      <c r="L17" s="3">
        <f ca="1">AVERAGE(OFFSET($I$3,(ROW()-ROW($K$3))*5,0,5,1))</f>
        <v>31.4</v>
      </c>
    </row>
    <row r="18" spans="2:14" x14ac:dyDescent="0.25">
      <c r="B18" s="3" t="s">
        <v>21</v>
      </c>
      <c r="C18" s="2">
        <v>1</v>
      </c>
      <c r="D18" s="3">
        <v>11458.17</v>
      </c>
      <c r="E18" s="2">
        <v>140.84</v>
      </c>
      <c r="F18" s="3">
        <v>1</v>
      </c>
      <c r="G18" s="2">
        <v>11462.64</v>
      </c>
      <c r="H18" s="3">
        <v>0.41</v>
      </c>
      <c r="I18" s="2">
        <v>7332</v>
      </c>
      <c r="K18" s="3" t="str" cm="1">
        <f t="array" ref="K18">LEFT(INDEX($B:$B, ROW($B$3) + (ROW()-ROW($H$3))*5), LEN(INDEX($B:$B, ROW($B$3) + (ROW()-ROW($H$3))*5))-2)</f>
        <v>n_8_100</v>
      </c>
      <c r="L18" s="3">
        <f ca="1">AVERAGE(OFFSET($I$3,(ROW()-ROW($K$3))*5,0,5,1))</f>
        <v>100.4</v>
      </c>
    </row>
    <row r="19" spans="2:14" x14ac:dyDescent="0.25">
      <c r="B19" s="3" t="s">
        <v>22</v>
      </c>
      <c r="C19" s="2">
        <v>1</v>
      </c>
      <c r="D19" s="3">
        <v>12856.6</v>
      </c>
      <c r="E19" s="2">
        <v>834.03</v>
      </c>
      <c r="F19" s="3">
        <v>0</v>
      </c>
      <c r="G19" s="2">
        <v>12856.6</v>
      </c>
      <c r="H19" s="3">
        <v>0</v>
      </c>
      <c r="I19" s="2">
        <v>21802</v>
      </c>
      <c r="K19" s="3" t="str" cm="1">
        <f t="array" ref="K19">LEFT(INDEX($B:$B, ROW($B$3) + (ROW()-ROW($H$3))*5), LEN(INDEX($B:$B, ROW($B$3) + (ROW()-ROW($H$3))*5))-2)</f>
        <v>w_4_25</v>
      </c>
      <c r="L19" s="3">
        <f ca="1">AVERAGE(OFFSET($I$3,(ROW()-ROW($K$3))*5,0,5,1))</f>
        <v>256.8</v>
      </c>
    </row>
    <row r="20" spans="2:14" x14ac:dyDescent="0.25">
      <c r="B20" s="3" t="s">
        <v>23</v>
      </c>
      <c r="C20" s="2">
        <v>1</v>
      </c>
      <c r="D20" s="3">
        <v>12966.97</v>
      </c>
      <c r="E20" s="2">
        <v>74.41</v>
      </c>
      <c r="F20" s="3">
        <v>0</v>
      </c>
      <c r="G20" s="2">
        <v>12966.97</v>
      </c>
      <c r="H20" s="3">
        <v>0</v>
      </c>
      <c r="I20" s="2">
        <v>3041</v>
      </c>
      <c r="K20" s="3" t="str" cm="1">
        <f t="array" ref="K20">LEFT(INDEX($B:$B, ROW($B$3) + (ROW()-ROW($H$3))*5), LEN(INDEX($B:$B, ROW($B$3) + (ROW()-ROW($H$3))*5))-2)</f>
        <v>w_4_35</v>
      </c>
      <c r="L20" s="3">
        <f ca="1">AVERAGE(OFFSET($I$3,(ROW()-ROW($K$3))*5,0,5,1))</f>
        <v>1611.8</v>
      </c>
    </row>
    <row r="21" spans="2:14" x14ac:dyDescent="0.25">
      <c r="B21" s="3" t="s">
        <v>24</v>
      </c>
      <c r="C21" s="2">
        <v>1</v>
      </c>
      <c r="D21" s="3">
        <v>11111.41</v>
      </c>
      <c r="E21" s="2">
        <v>427.17</v>
      </c>
      <c r="F21" s="3">
        <v>1</v>
      </c>
      <c r="G21" s="2">
        <v>11139.38</v>
      </c>
      <c r="H21" s="3">
        <v>0.73</v>
      </c>
      <c r="I21" s="2">
        <v>18443</v>
      </c>
      <c r="K21" s="3" t="str" cm="1">
        <f t="array" ref="K21">LEFT(INDEX($B:$B, ROW($B$3) + (ROW()-ROW($H$3))*5), LEN(INDEX($B:$B, ROW($B$3) + (ROW()-ROW($H$3))*5))-2)</f>
        <v>w_4_50</v>
      </c>
      <c r="L21" s="3">
        <f ca="1">AVERAGE(OFFSET($I$3,(ROW()-ROW($K$3))*5,0,5,1))</f>
        <v>7853</v>
      </c>
    </row>
    <row r="22" spans="2:14" x14ac:dyDescent="0.25">
      <c r="B22" s="3" t="s">
        <v>25</v>
      </c>
      <c r="C22" s="2">
        <v>1</v>
      </c>
      <c r="D22" s="3">
        <v>11906.54</v>
      </c>
      <c r="E22" s="2">
        <v>292.54000000000002</v>
      </c>
      <c r="F22" s="3">
        <v>5</v>
      </c>
      <c r="G22" s="2">
        <v>12136.52</v>
      </c>
      <c r="H22" s="3">
        <v>3.12</v>
      </c>
      <c r="I22" s="2">
        <v>10126</v>
      </c>
      <c r="K22" s="3" t="str" cm="1">
        <f t="array" ref="K22">LEFT(INDEX($B:$B, ROW($B$3) + (ROW()-ROW($H$3))*5), LEN(INDEX($B:$B, ROW($B$3) + (ROW()-ROW($H$3))*5))-2)</f>
        <v>w_4_100</v>
      </c>
      <c r="L22" s="3">
        <f ca="1">AVERAGE(OFFSET($I$3,(ROW()-ROW($K$3))*5,0,5,1))</f>
        <v>66618</v>
      </c>
    </row>
    <row r="23" spans="2:14" x14ac:dyDescent="0.25">
      <c r="B23" s="3" t="s">
        <v>26</v>
      </c>
      <c r="C23" s="2">
        <v>1</v>
      </c>
      <c r="D23" s="3">
        <v>3681.02</v>
      </c>
      <c r="E23" s="2">
        <v>0.95</v>
      </c>
      <c r="F23" s="3">
        <v>0</v>
      </c>
      <c r="G23" s="2">
        <v>3681.02</v>
      </c>
      <c r="H23" s="3">
        <v>0</v>
      </c>
      <c r="I23" s="2">
        <v>22</v>
      </c>
      <c r="K23" s="3" t="str" cm="1">
        <f t="array" ref="K23">LEFT(INDEX($B:$B, ROW($B$3) + (ROW()-ROW($H$3))*5), LEN(INDEX($B:$B, ROW($B$3) + (ROW()-ROW($H$3))*5))-2)</f>
        <v>w_8_25</v>
      </c>
      <c r="L23" s="3">
        <f ca="1">AVERAGE(OFFSET($I$3,(ROW()-ROW($K$3))*5,0,5,1))</f>
        <v>43</v>
      </c>
    </row>
    <row r="24" spans="2:14" x14ac:dyDescent="0.25">
      <c r="B24" s="3" t="s">
        <v>27</v>
      </c>
      <c r="C24" s="2">
        <v>1</v>
      </c>
      <c r="D24" s="3">
        <v>4195.28</v>
      </c>
      <c r="E24" s="2">
        <v>0.77</v>
      </c>
      <c r="F24" s="3">
        <v>0</v>
      </c>
      <c r="G24" s="2">
        <v>4195.28</v>
      </c>
      <c r="H24" s="3">
        <v>0</v>
      </c>
      <c r="I24" s="2">
        <v>12</v>
      </c>
      <c r="K24" s="3" t="str" cm="1">
        <f t="array" ref="K24">LEFT(INDEX($B:$B, ROW($B$3) + (ROW()-ROW($H$3))*5), LEN(INDEX($B:$B, ROW($B$3) + (ROW()-ROW($H$3))*5))-2)</f>
        <v>w_8_35</v>
      </c>
      <c r="L24" s="3">
        <f ca="1">AVERAGE(OFFSET($I$3,(ROW()-ROW($K$3))*5,0,5,1))</f>
        <v>60.8</v>
      </c>
    </row>
    <row r="25" spans="2:14" x14ac:dyDescent="0.25">
      <c r="B25" s="3" t="s">
        <v>28</v>
      </c>
      <c r="C25" s="2">
        <v>1</v>
      </c>
      <c r="D25" s="3">
        <v>3976.11</v>
      </c>
      <c r="E25" s="2">
        <v>1.82</v>
      </c>
      <c r="F25" s="3">
        <v>0</v>
      </c>
      <c r="G25" s="2">
        <v>3976.11</v>
      </c>
      <c r="H25" s="3">
        <v>0</v>
      </c>
      <c r="I25" s="2">
        <v>35</v>
      </c>
      <c r="K25" s="3" t="str" cm="1">
        <f t="array" ref="K25">LEFT(INDEX($B:$B, ROW($B$3) + (ROW()-ROW($H$3))*5), LEN(INDEX($B:$B, ROW($B$3) + (ROW()-ROW($H$3))*5))-2)</f>
        <v>w_8_50</v>
      </c>
      <c r="L25" s="3">
        <f ca="1">AVERAGE(OFFSET($I$3,(ROW()-ROW($K$3))*5,0,5,1))</f>
        <v>293.60000000000002</v>
      </c>
    </row>
    <row r="26" spans="2:14" x14ac:dyDescent="0.25">
      <c r="B26" s="3" t="s">
        <v>29</v>
      </c>
      <c r="C26" s="2">
        <v>1</v>
      </c>
      <c r="D26" s="3">
        <v>4130.91</v>
      </c>
      <c r="E26" s="2">
        <v>0.41</v>
      </c>
      <c r="F26" s="3">
        <v>0</v>
      </c>
      <c r="G26" s="2">
        <v>4130.91</v>
      </c>
      <c r="H26" s="3">
        <v>0</v>
      </c>
      <c r="I26" s="2">
        <v>15</v>
      </c>
      <c r="K26" s="3" t="str" cm="1">
        <f t="array" ref="K26">LEFT(INDEX($B:$B, ROW($B$3) + (ROW()-ROW($H$3))*5), LEN(INDEX($B:$B, ROW($B$3) + (ROW()-ROW($H$3))*5))-2)</f>
        <v>w_8_100</v>
      </c>
      <c r="L26" s="3">
        <f ca="1">AVERAGE(OFFSET($I$3,(ROW()-ROW($K$3))*5,0,5,1))</f>
        <v>3953.2</v>
      </c>
    </row>
    <row r="27" spans="2:14" x14ac:dyDescent="0.25">
      <c r="B27" s="3" t="s">
        <v>30</v>
      </c>
      <c r="C27" s="2">
        <v>1</v>
      </c>
      <c r="D27" s="3">
        <v>6136.95</v>
      </c>
      <c r="E27" s="2">
        <v>0.66</v>
      </c>
      <c r="F27" s="3">
        <v>0</v>
      </c>
      <c r="G27" s="2">
        <v>6136.95</v>
      </c>
      <c r="H27" s="3">
        <v>0</v>
      </c>
      <c r="I27" s="2">
        <v>11</v>
      </c>
    </row>
    <row r="28" spans="2:14" x14ac:dyDescent="0.25">
      <c r="B28" s="3" t="s">
        <v>31</v>
      </c>
      <c r="C28" s="2">
        <v>1</v>
      </c>
      <c r="D28" s="3">
        <v>5758.68</v>
      </c>
      <c r="E28" s="2">
        <v>0.98</v>
      </c>
      <c r="F28" s="3">
        <v>0</v>
      </c>
      <c r="G28" s="2">
        <v>5758.68</v>
      </c>
      <c r="H28" s="3">
        <v>0</v>
      </c>
      <c r="I28" s="2">
        <v>24</v>
      </c>
    </row>
    <row r="29" spans="2:14" x14ac:dyDescent="0.25">
      <c r="B29" s="3" t="s">
        <v>32</v>
      </c>
      <c r="C29" s="2">
        <v>1</v>
      </c>
      <c r="D29" s="3">
        <v>5832.2</v>
      </c>
      <c r="E29" s="2">
        <v>0.85</v>
      </c>
      <c r="F29" s="3">
        <v>0</v>
      </c>
      <c r="G29" s="2">
        <v>5832.2</v>
      </c>
      <c r="H29" s="3">
        <v>0</v>
      </c>
      <c r="I29" s="2">
        <v>16</v>
      </c>
    </row>
    <row r="30" spans="2:14" x14ac:dyDescent="0.25">
      <c r="B30" s="3" t="s">
        <v>33</v>
      </c>
      <c r="C30" s="2">
        <v>1</v>
      </c>
      <c r="D30" s="3">
        <v>5656.36</v>
      </c>
      <c r="E30" s="2">
        <v>2.06</v>
      </c>
      <c r="F30" s="3">
        <v>0</v>
      </c>
      <c r="G30" s="2">
        <v>5656.36</v>
      </c>
      <c r="H30" s="3">
        <v>0</v>
      </c>
      <c r="I30" s="2">
        <v>23</v>
      </c>
    </row>
    <row r="31" spans="2:14" x14ac:dyDescent="0.25">
      <c r="B31" s="3" t="s">
        <v>34</v>
      </c>
      <c r="C31" s="2">
        <v>1</v>
      </c>
      <c r="D31" s="3">
        <v>5597.22</v>
      </c>
      <c r="E31" s="2">
        <v>1.54</v>
      </c>
      <c r="F31" s="3">
        <v>0</v>
      </c>
      <c r="G31" s="2">
        <v>5597.22</v>
      </c>
      <c r="H31" s="3">
        <v>0</v>
      </c>
      <c r="I31" s="2">
        <v>33</v>
      </c>
      <c r="K31" s="3" t="s">
        <v>183</v>
      </c>
      <c r="L31" s="3" t="s">
        <v>184</v>
      </c>
      <c r="M31" s="3" t="s">
        <v>173</v>
      </c>
      <c r="N31" s="3" t="s">
        <v>172</v>
      </c>
    </row>
    <row r="32" spans="2:14" x14ac:dyDescent="0.25">
      <c r="B32" s="3" t="s">
        <v>35</v>
      </c>
      <c r="C32" s="2">
        <v>1</v>
      </c>
      <c r="D32" s="3">
        <v>6693.24</v>
      </c>
      <c r="E32" s="2">
        <v>0.84</v>
      </c>
      <c r="F32" s="3">
        <v>0</v>
      </c>
      <c r="G32" s="2">
        <v>6693.24</v>
      </c>
      <c r="H32" s="3">
        <v>0</v>
      </c>
      <c r="I32" s="2">
        <v>8</v>
      </c>
      <c r="K32" s="3" t="s">
        <v>157</v>
      </c>
      <c r="L32" s="3">
        <v>3</v>
      </c>
      <c r="M32" s="3">
        <f>ROUND(SUM(F18:F22)/L32,1)</f>
        <v>2.2999999999999998</v>
      </c>
      <c r="N32" s="3">
        <f>ROUND(SUM(H18:H22)/L32,1)</f>
        <v>1.4</v>
      </c>
    </row>
    <row r="33" spans="2:14" x14ac:dyDescent="0.25">
      <c r="B33" s="3" t="s">
        <v>36</v>
      </c>
      <c r="C33" s="2">
        <v>1</v>
      </c>
      <c r="D33" s="3">
        <v>6221.15</v>
      </c>
      <c r="E33" s="2">
        <v>1.68</v>
      </c>
      <c r="F33" s="3">
        <v>0</v>
      </c>
      <c r="G33" s="2">
        <v>6221.15</v>
      </c>
      <c r="H33" s="3">
        <v>0</v>
      </c>
      <c r="I33" s="2">
        <v>45</v>
      </c>
      <c r="K33" s="3" t="s">
        <v>158</v>
      </c>
      <c r="L33" s="3">
        <v>2</v>
      </c>
      <c r="M33" s="3">
        <f>ROUND(SUM(F33:F37)/L33,2)</f>
        <v>1</v>
      </c>
      <c r="N33" s="3">
        <f>ROUND(SUM(H33:H37)/L33,1)</f>
        <v>0.1</v>
      </c>
    </row>
    <row r="34" spans="2:14" x14ac:dyDescent="0.25">
      <c r="B34" s="3" t="s">
        <v>37</v>
      </c>
      <c r="C34" s="2">
        <v>1</v>
      </c>
      <c r="D34" s="3">
        <v>8221.5400000000009</v>
      </c>
      <c r="E34" s="2">
        <v>2.48</v>
      </c>
      <c r="F34" s="3">
        <v>1</v>
      </c>
      <c r="G34" s="2">
        <v>8832.26</v>
      </c>
      <c r="H34" s="3">
        <v>0.01</v>
      </c>
      <c r="I34" s="2">
        <v>35</v>
      </c>
      <c r="K34" s="3" t="s">
        <v>159</v>
      </c>
      <c r="L34" s="3">
        <v>5</v>
      </c>
      <c r="M34" s="3">
        <f>ROUND(SUM(F38:F42)/$L$34,2)</f>
        <v>1.6</v>
      </c>
      <c r="N34" s="3">
        <f>ROUND(SUM(H38:H42)/L34,1)</f>
        <v>0.3</v>
      </c>
    </row>
    <row r="35" spans="2:14" x14ac:dyDescent="0.25">
      <c r="B35" s="3" t="s">
        <v>38</v>
      </c>
      <c r="C35" s="2">
        <v>1</v>
      </c>
      <c r="D35" s="3">
        <v>7071.04</v>
      </c>
      <c r="E35" s="2">
        <v>4.42</v>
      </c>
      <c r="F35" s="3">
        <v>0</v>
      </c>
      <c r="G35" s="2">
        <v>7071.04</v>
      </c>
      <c r="H35" s="3">
        <v>0</v>
      </c>
      <c r="I35" s="2">
        <v>100</v>
      </c>
      <c r="K35" s="3" t="s">
        <v>160</v>
      </c>
      <c r="L35" s="3">
        <v>1</v>
      </c>
      <c r="M35" s="3">
        <f>F69</f>
        <v>1</v>
      </c>
      <c r="N35" s="3">
        <v>0.1</v>
      </c>
    </row>
    <row r="36" spans="2:14" x14ac:dyDescent="0.25">
      <c r="B36" s="3" t="s">
        <v>39</v>
      </c>
      <c r="C36" s="2">
        <v>1</v>
      </c>
      <c r="D36" s="3">
        <v>6621.83</v>
      </c>
      <c r="E36" s="2">
        <v>2.2599999999999998</v>
      </c>
      <c r="F36" s="3">
        <v>0</v>
      </c>
      <c r="G36" s="2">
        <v>6621.83</v>
      </c>
      <c r="H36" s="3">
        <v>0</v>
      </c>
      <c r="I36" s="2">
        <v>38</v>
      </c>
      <c r="K36" s="3" t="s">
        <v>161</v>
      </c>
      <c r="L36" s="3">
        <v>1</v>
      </c>
      <c r="M36" s="3">
        <v>1</v>
      </c>
      <c r="N36" s="3">
        <v>0.1</v>
      </c>
    </row>
    <row r="37" spans="2:14" x14ac:dyDescent="0.25">
      <c r="B37" s="3" t="s">
        <v>40</v>
      </c>
      <c r="C37" s="2">
        <v>1</v>
      </c>
      <c r="D37" s="3">
        <v>8650.61</v>
      </c>
      <c r="E37" s="2">
        <v>3.23</v>
      </c>
      <c r="F37" s="3">
        <v>1</v>
      </c>
      <c r="G37" s="2">
        <v>8712.6200000000008</v>
      </c>
      <c r="H37" s="3">
        <v>0.26</v>
      </c>
      <c r="I37" s="2">
        <v>80</v>
      </c>
      <c r="K37" s="3" t="s">
        <v>162</v>
      </c>
      <c r="L37" s="3">
        <v>1</v>
      </c>
      <c r="M37" s="3">
        <v>1</v>
      </c>
      <c r="N37" s="3">
        <v>0.1</v>
      </c>
    </row>
    <row r="38" spans="2:14" x14ac:dyDescent="0.25">
      <c r="B38" s="3" t="s">
        <v>41</v>
      </c>
      <c r="C38" s="2">
        <v>1</v>
      </c>
      <c r="D38" s="3">
        <v>12784.17</v>
      </c>
      <c r="E38" s="2">
        <v>13.68</v>
      </c>
      <c r="F38" s="3">
        <v>2</v>
      </c>
      <c r="G38" s="2">
        <v>13467.73</v>
      </c>
      <c r="H38" s="3">
        <v>0.49</v>
      </c>
      <c r="I38" s="2">
        <v>398</v>
      </c>
      <c r="K38" s="3" t="s">
        <v>163</v>
      </c>
      <c r="L38" s="3">
        <v>1</v>
      </c>
      <c r="M38" s="3">
        <v>2</v>
      </c>
      <c r="N38" s="3">
        <v>1</v>
      </c>
    </row>
    <row r="39" spans="2:14" x14ac:dyDescent="0.25">
      <c r="B39" s="3" t="s">
        <v>42</v>
      </c>
      <c r="C39" s="2">
        <v>1</v>
      </c>
      <c r="D39" s="3">
        <v>15043.14</v>
      </c>
      <c r="E39" s="2">
        <v>11.17</v>
      </c>
      <c r="F39" s="3">
        <v>1</v>
      </c>
      <c r="G39" s="2">
        <v>15248.09</v>
      </c>
      <c r="H39" s="3">
        <v>0.02</v>
      </c>
      <c r="I39" s="2">
        <v>162</v>
      </c>
      <c r="K39" s="3" t="s">
        <v>164</v>
      </c>
      <c r="L39" s="3">
        <v>1</v>
      </c>
      <c r="M39" s="3">
        <v>1</v>
      </c>
      <c r="N39" s="3">
        <v>0.5</v>
      </c>
    </row>
    <row r="40" spans="2:14" x14ac:dyDescent="0.25">
      <c r="B40" s="3" t="s">
        <v>43</v>
      </c>
      <c r="C40" s="2">
        <v>1</v>
      </c>
      <c r="D40" s="3">
        <v>14917.3</v>
      </c>
      <c r="E40" s="2">
        <v>12.83</v>
      </c>
      <c r="F40" s="3">
        <v>1</v>
      </c>
      <c r="G40" s="2">
        <v>14934.89</v>
      </c>
      <c r="H40" s="3">
        <v>0.09</v>
      </c>
      <c r="I40" s="2">
        <v>226</v>
      </c>
      <c r="K40" s="3" t="s">
        <v>165</v>
      </c>
      <c r="L40" s="3">
        <v>1</v>
      </c>
      <c r="M40" s="3">
        <v>1</v>
      </c>
      <c r="N40" s="3">
        <v>0.1</v>
      </c>
    </row>
    <row r="41" spans="2:14" x14ac:dyDescent="0.25">
      <c r="B41" s="3" t="s">
        <v>44</v>
      </c>
      <c r="C41" s="2">
        <v>1</v>
      </c>
      <c r="D41" s="3">
        <v>12720.69</v>
      </c>
      <c r="E41" s="2">
        <v>15.1</v>
      </c>
      <c r="F41" s="3">
        <v>2</v>
      </c>
      <c r="G41" s="2">
        <v>13715.23</v>
      </c>
      <c r="H41" s="3">
        <v>0.53</v>
      </c>
      <c r="I41" s="2">
        <v>325</v>
      </c>
      <c r="K41" s="3" t="s">
        <v>166</v>
      </c>
      <c r="L41" s="3">
        <v>5</v>
      </c>
      <c r="M41" s="3">
        <f>SUM(F108:F112)/L41</f>
        <v>1.4</v>
      </c>
      <c r="N41" s="3">
        <f>ROUND(SUM(H108:H112)/L41,1)</f>
        <v>0.4</v>
      </c>
    </row>
    <row r="42" spans="2:14" x14ac:dyDescent="0.25">
      <c r="B42" s="3" t="s">
        <v>45</v>
      </c>
      <c r="C42" s="2">
        <v>1</v>
      </c>
      <c r="D42" s="3">
        <v>14109.6</v>
      </c>
      <c r="E42" s="2">
        <v>14.61</v>
      </c>
      <c r="F42" s="3">
        <v>2</v>
      </c>
      <c r="G42" s="2">
        <v>14329.82</v>
      </c>
      <c r="H42" s="3">
        <v>0.38</v>
      </c>
      <c r="I42" s="2">
        <v>354</v>
      </c>
      <c r="K42" s="3" t="s">
        <v>167</v>
      </c>
      <c r="L42" s="3">
        <v>5</v>
      </c>
      <c r="M42" s="3">
        <f>SUM(F113:F117)/$L42</f>
        <v>4</v>
      </c>
      <c r="N42" s="3">
        <f>ROUND(SUM(H113:H117)/$L42,1)</f>
        <v>1.2</v>
      </c>
    </row>
    <row r="43" spans="2:14" x14ac:dyDescent="0.25">
      <c r="B43" s="3" t="s">
        <v>46</v>
      </c>
      <c r="C43" s="2">
        <v>1</v>
      </c>
      <c r="D43" s="3">
        <v>5108.8599999999997</v>
      </c>
      <c r="E43" s="2">
        <v>0.13</v>
      </c>
      <c r="F43" s="3">
        <v>0</v>
      </c>
      <c r="G43" s="2">
        <v>5108.8599999999997</v>
      </c>
      <c r="H43" s="3">
        <v>0</v>
      </c>
      <c r="I43" s="2">
        <v>24</v>
      </c>
      <c r="K43" s="3" t="s">
        <v>168</v>
      </c>
      <c r="L43" s="3">
        <v>5</v>
      </c>
      <c r="M43" s="3">
        <f>SUM(F118:F122)/$L43</f>
        <v>36.6</v>
      </c>
      <c r="N43" s="3">
        <f>ROUND(SUM(H118:H122)/$L43,1)</f>
        <v>137.6</v>
      </c>
    </row>
    <row r="44" spans="2:14" x14ac:dyDescent="0.25">
      <c r="B44" s="3" t="s">
        <v>47</v>
      </c>
      <c r="C44" s="2">
        <v>1</v>
      </c>
      <c r="D44" s="3">
        <v>4550.87</v>
      </c>
      <c r="E44" s="2">
        <v>0.37</v>
      </c>
      <c r="F44" s="3">
        <v>0</v>
      </c>
      <c r="G44" s="2">
        <v>4550.87</v>
      </c>
      <c r="H44" s="3">
        <v>0</v>
      </c>
      <c r="I44" s="2">
        <v>58</v>
      </c>
      <c r="K44" s="3" t="s">
        <v>174</v>
      </c>
      <c r="L44" s="3">
        <f ca="1">SUM(L32:L44)</f>
        <v>31</v>
      </c>
      <c r="M44" s="3">
        <f ca="1">ROUND(SUMPRODUCT(L32:L44, M32:M44)/L44,1)</f>
        <v>7.5</v>
      </c>
      <c r="N44" s="3"/>
    </row>
    <row r="45" spans="2:14" x14ac:dyDescent="0.25">
      <c r="B45" s="3" t="s">
        <v>48</v>
      </c>
      <c r="C45" s="2">
        <v>1</v>
      </c>
      <c r="D45" s="3">
        <v>5594.93</v>
      </c>
      <c r="E45" s="2">
        <v>0.18</v>
      </c>
      <c r="F45" s="3">
        <v>0</v>
      </c>
      <c r="G45" s="2">
        <v>5594.93</v>
      </c>
      <c r="H45" s="3">
        <v>0</v>
      </c>
      <c r="I45" s="2">
        <v>20</v>
      </c>
      <c r="K45" s="3" t="s">
        <v>169</v>
      </c>
      <c r="L45" s="3">
        <v>5</v>
      </c>
      <c r="M45" s="3">
        <v>7</v>
      </c>
      <c r="N45" s="3">
        <v>3.3</v>
      </c>
    </row>
    <row r="46" spans="2:14" x14ac:dyDescent="0.25">
      <c r="B46" s="3" t="s">
        <v>49</v>
      </c>
      <c r="C46" s="2">
        <v>1</v>
      </c>
      <c r="D46" s="3">
        <v>4232.79</v>
      </c>
      <c r="E46" s="2">
        <v>0.18</v>
      </c>
      <c r="F46" s="3">
        <v>0</v>
      </c>
      <c r="G46" s="2">
        <v>4232.79</v>
      </c>
      <c r="H46" s="3">
        <v>0</v>
      </c>
      <c r="I46" s="2">
        <v>34</v>
      </c>
      <c r="K46" s="3" t="s">
        <v>170</v>
      </c>
      <c r="L46" s="3">
        <v>2</v>
      </c>
      <c r="M46" s="3">
        <v>1</v>
      </c>
      <c r="N46" s="3">
        <v>1.5</v>
      </c>
    </row>
    <row r="47" spans="2:14" x14ac:dyDescent="0.25">
      <c r="B47" s="3" t="s">
        <v>50</v>
      </c>
      <c r="C47" s="2">
        <v>1</v>
      </c>
      <c r="D47" s="3">
        <v>4186.68</v>
      </c>
      <c r="E47" s="2">
        <v>0.32</v>
      </c>
      <c r="F47" s="3">
        <v>0</v>
      </c>
      <c r="G47" s="2">
        <v>4186.68</v>
      </c>
      <c r="H47" s="3">
        <v>0</v>
      </c>
      <c r="I47" s="2">
        <v>45</v>
      </c>
      <c r="K47" s="3" t="s">
        <v>171</v>
      </c>
      <c r="L47" s="3">
        <v>3</v>
      </c>
      <c r="M47" s="3">
        <v>1</v>
      </c>
      <c r="N47" s="3">
        <v>0.1</v>
      </c>
    </row>
    <row r="48" spans="2:14" x14ac:dyDescent="0.25">
      <c r="B48" s="3" t="s">
        <v>51</v>
      </c>
      <c r="C48" s="2">
        <v>1</v>
      </c>
      <c r="D48" s="3">
        <v>5466.67</v>
      </c>
      <c r="E48" s="2">
        <v>0.85</v>
      </c>
      <c r="F48" s="3">
        <v>0</v>
      </c>
      <c r="G48" s="2">
        <v>5466.67</v>
      </c>
      <c r="H48" s="3">
        <v>0</v>
      </c>
      <c r="I48" s="2">
        <v>88</v>
      </c>
      <c r="K48" s="3" t="s">
        <v>174</v>
      </c>
      <c r="L48" s="3">
        <f>SUM(L45:L47)</f>
        <v>10</v>
      </c>
      <c r="M48" s="3">
        <f>ROUND(SUMPRODUCT(L45:L47, M45:M47)/L48,1)</f>
        <v>4</v>
      </c>
      <c r="N48" s="3"/>
    </row>
    <row r="49" spans="2:9" x14ac:dyDescent="0.25">
      <c r="B49" s="3" t="s">
        <v>52</v>
      </c>
      <c r="C49" s="2">
        <v>1</v>
      </c>
      <c r="D49" s="3">
        <v>7349.34</v>
      </c>
      <c r="E49" s="2">
        <v>0.59</v>
      </c>
      <c r="F49" s="3">
        <v>0</v>
      </c>
      <c r="G49" s="2">
        <v>7349.34</v>
      </c>
      <c r="H49" s="3">
        <v>0</v>
      </c>
      <c r="I49" s="2">
        <v>56</v>
      </c>
    </row>
    <row r="50" spans="2:9" x14ac:dyDescent="0.25">
      <c r="B50" s="3" t="s">
        <v>53</v>
      </c>
      <c r="C50" s="2">
        <v>1</v>
      </c>
      <c r="D50" s="3">
        <v>6471.1</v>
      </c>
      <c r="E50" s="2">
        <v>0.95</v>
      </c>
      <c r="F50" s="3">
        <v>0</v>
      </c>
      <c r="G50" s="2">
        <v>6471.1</v>
      </c>
      <c r="H50" s="3">
        <v>0</v>
      </c>
      <c r="I50" s="2">
        <v>40</v>
      </c>
    </row>
    <row r="51" spans="2:9" x14ac:dyDescent="0.25">
      <c r="B51" s="3" t="s">
        <v>54</v>
      </c>
      <c r="C51" s="2">
        <v>1</v>
      </c>
      <c r="D51" s="3">
        <v>7563.38</v>
      </c>
      <c r="E51" s="2">
        <v>0.57999999999999996</v>
      </c>
      <c r="F51" s="3">
        <v>0</v>
      </c>
      <c r="G51" s="2">
        <v>7563.38</v>
      </c>
      <c r="H51" s="3">
        <v>0</v>
      </c>
      <c r="I51" s="2">
        <v>39</v>
      </c>
    </row>
    <row r="52" spans="2:9" x14ac:dyDescent="0.25">
      <c r="B52" s="3" t="s">
        <v>55</v>
      </c>
      <c r="C52" s="2">
        <v>1</v>
      </c>
      <c r="D52" s="3">
        <v>6279.57</v>
      </c>
      <c r="E52" s="2">
        <v>0.81</v>
      </c>
      <c r="F52" s="3">
        <v>0</v>
      </c>
      <c r="G52" s="2">
        <v>6279.57</v>
      </c>
      <c r="H52" s="3">
        <v>0</v>
      </c>
      <c r="I52" s="2">
        <v>55</v>
      </c>
    </row>
    <row r="53" spans="2:9" x14ac:dyDescent="0.25">
      <c r="B53" s="3" t="s">
        <v>56</v>
      </c>
      <c r="C53" s="2">
        <v>1</v>
      </c>
      <c r="D53" s="3">
        <v>8695.27</v>
      </c>
      <c r="E53" s="2">
        <v>0.84</v>
      </c>
      <c r="F53" s="3">
        <v>0</v>
      </c>
      <c r="G53" s="2">
        <v>8695.27</v>
      </c>
      <c r="H53" s="3">
        <v>0</v>
      </c>
      <c r="I53" s="2">
        <v>113</v>
      </c>
    </row>
    <row r="54" spans="2:9" x14ac:dyDescent="0.25">
      <c r="B54" s="3" t="s">
        <v>57</v>
      </c>
      <c r="C54" s="2">
        <v>1</v>
      </c>
      <c r="D54" s="3">
        <v>9812.6200000000008</v>
      </c>
      <c r="E54" s="2">
        <v>1.89</v>
      </c>
      <c r="F54" s="3">
        <v>0</v>
      </c>
      <c r="G54" s="2">
        <v>9812.6200000000008</v>
      </c>
      <c r="H54" s="3">
        <v>0</v>
      </c>
      <c r="I54" s="2">
        <v>266</v>
      </c>
    </row>
    <row r="55" spans="2:9" x14ac:dyDescent="0.25">
      <c r="B55" s="3" t="s">
        <v>58</v>
      </c>
      <c r="C55" s="2">
        <v>1</v>
      </c>
      <c r="D55" s="3">
        <v>9677.74</v>
      </c>
      <c r="E55" s="2">
        <v>1.95</v>
      </c>
      <c r="F55" s="3">
        <v>0</v>
      </c>
      <c r="G55" s="2">
        <v>9677.74</v>
      </c>
      <c r="H55" s="3">
        <v>0</v>
      </c>
      <c r="I55" s="2">
        <v>127</v>
      </c>
    </row>
    <row r="56" spans="2:9" x14ac:dyDescent="0.25">
      <c r="B56" s="3" t="s">
        <v>59</v>
      </c>
      <c r="C56" s="2">
        <v>1</v>
      </c>
      <c r="D56" s="3">
        <v>7733.56</v>
      </c>
      <c r="E56" s="2">
        <v>0.95</v>
      </c>
      <c r="F56" s="3">
        <v>0</v>
      </c>
      <c r="G56" s="2">
        <v>7733.56</v>
      </c>
      <c r="H56" s="3">
        <v>0</v>
      </c>
      <c r="I56" s="2">
        <v>167</v>
      </c>
    </row>
    <row r="57" spans="2:9" x14ac:dyDescent="0.25">
      <c r="B57" s="3" t="s">
        <v>60</v>
      </c>
      <c r="C57" s="2">
        <v>1</v>
      </c>
      <c r="D57" s="3">
        <v>8695.94</v>
      </c>
      <c r="E57" s="2">
        <v>1.23</v>
      </c>
      <c r="F57" s="3">
        <v>0</v>
      </c>
      <c r="G57" s="2">
        <v>8695.94</v>
      </c>
      <c r="H57" s="3">
        <v>0</v>
      </c>
      <c r="I57" s="2">
        <v>149</v>
      </c>
    </row>
    <row r="58" spans="2:9" x14ac:dyDescent="0.25">
      <c r="B58" s="3" t="s">
        <v>61</v>
      </c>
      <c r="C58" s="2">
        <v>1</v>
      </c>
      <c r="D58" s="3">
        <v>14515.76</v>
      </c>
      <c r="E58" s="2">
        <v>6.79</v>
      </c>
      <c r="F58" s="3">
        <v>0</v>
      </c>
      <c r="G58" s="2">
        <v>14515.76</v>
      </c>
      <c r="H58" s="3">
        <v>0</v>
      </c>
      <c r="I58" s="2">
        <v>1052</v>
      </c>
    </row>
    <row r="59" spans="2:9" x14ac:dyDescent="0.25">
      <c r="B59" s="3" t="s">
        <v>62</v>
      </c>
      <c r="C59" s="2">
        <v>1</v>
      </c>
      <c r="D59" s="3">
        <v>16366.69</v>
      </c>
      <c r="E59" s="2">
        <v>48.1</v>
      </c>
      <c r="F59" s="3">
        <v>0</v>
      </c>
      <c r="G59" s="2">
        <v>16366.69</v>
      </c>
      <c r="H59" s="3">
        <v>0.01</v>
      </c>
      <c r="I59" s="2">
        <v>4452</v>
      </c>
    </row>
    <row r="60" spans="2:9" x14ac:dyDescent="0.25">
      <c r="B60" s="3" t="s">
        <v>63</v>
      </c>
      <c r="C60" s="2">
        <v>1</v>
      </c>
      <c r="D60" s="3">
        <v>16137.86</v>
      </c>
      <c r="E60" s="2">
        <v>10.79</v>
      </c>
      <c r="F60" s="3">
        <v>0</v>
      </c>
      <c r="G60" s="2">
        <v>16137.86</v>
      </c>
      <c r="H60" s="3">
        <v>0</v>
      </c>
      <c r="I60" s="2">
        <v>527</v>
      </c>
    </row>
    <row r="61" spans="2:9" x14ac:dyDescent="0.25">
      <c r="B61" s="3" t="s">
        <v>64</v>
      </c>
      <c r="C61" s="2">
        <v>1</v>
      </c>
      <c r="D61" s="3">
        <v>14087.59</v>
      </c>
      <c r="E61" s="2">
        <v>17.91</v>
      </c>
      <c r="F61" s="3">
        <v>0</v>
      </c>
      <c r="G61" s="2">
        <v>14087.59</v>
      </c>
      <c r="H61" s="3">
        <v>0</v>
      </c>
      <c r="I61" s="2">
        <v>2323</v>
      </c>
    </row>
    <row r="62" spans="2:9" x14ac:dyDescent="0.25">
      <c r="B62" s="3" t="s">
        <v>65</v>
      </c>
      <c r="C62" s="2">
        <v>1</v>
      </c>
      <c r="D62" s="3">
        <v>14967.32</v>
      </c>
      <c r="E62" s="2">
        <v>21.89</v>
      </c>
      <c r="F62" s="3">
        <v>0</v>
      </c>
      <c r="G62" s="2">
        <v>14967.32</v>
      </c>
      <c r="H62" s="3">
        <v>0</v>
      </c>
      <c r="I62" s="2">
        <v>1959</v>
      </c>
    </row>
    <row r="63" spans="2:9" x14ac:dyDescent="0.25">
      <c r="B63" s="3" t="s">
        <v>66</v>
      </c>
      <c r="C63" s="2">
        <v>1</v>
      </c>
      <c r="D63" s="3">
        <v>4410.46</v>
      </c>
      <c r="E63" s="2">
        <v>0.11</v>
      </c>
      <c r="F63" s="3">
        <v>0</v>
      </c>
      <c r="G63" s="2">
        <v>4410.46</v>
      </c>
      <c r="H63" s="3">
        <v>0</v>
      </c>
      <c r="I63" s="2">
        <v>13</v>
      </c>
    </row>
    <row r="64" spans="2:9" x14ac:dyDescent="0.25">
      <c r="B64" s="3" t="s">
        <v>67</v>
      </c>
      <c r="C64" s="2">
        <v>1</v>
      </c>
      <c r="D64" s="3">
        <v>4223.51</v>
      </c>
      <c r="E64" s="2">
        <v>0.17</v>
      </c>
      <c r="F64" s="3">
        <v>0</v>
      </c>
      <c r="G64" s="2">
        <v>4223.51</v>
      </c>
      <c r="H64" s="3">
        <v>0</v>
      </c>
      <c r="I64" s="2">
        <v>11</v>
      </c>
    </row>
    <row r="65" spans="2:9" x14ac:dyDescent="0.25">
      <c r="B65" s="3" t="s">
        <v>68</v>
      </c>
      <c r="C65" s="2">
        <v>1</v>
      </c>
      <c r="D65" s="3">
        <v>4119.59</v>
      </c>
      <c r="E65" s="2">
        <v>0.37</v>
      </c>
      <c r="F65" s="3">
        <v>0</v>
      </c>
      <c r="G65" s="2">
        <v>4119.59</v>
      </c>
      <c r="H65" s="3">
        <v>0</v>
      </c>
      <c r="I65" s="2">
        <v>23</v>
      </c>
    </row>
    <row r="66" spans="2:9" x14ac:dyDescent="0.25">
      <c r="B66" s="3" t="s">
        <v>69</v>
      </c>
      <c r="C66" s="2">
        <v>1</v>
      </c>
      <c r="D66" s="3">
        <v>4340.3</v>
      </c>
      <c r="E66" s="2">
        <v>0.11</v>
      </c>
      <c r="F66" s="3">
        <v>0</v>
      </c>
      <c r="G66" s="2">
        <v>4340.3</v>
      </c>
      <c r="H66" s="3">
        <v>0</v>
      </c>
      <c r="I66" s="2">
        <v>10</v>
      </c>
    </row>
    <row r="67" spans="2:9" x14ac:dyDescent="0.25">
      <c r="B67" s="3" t="s">
        <v>70</v>
      </c>
      <c r="C67" s="2">
        <v>1</v>
      </c>
      <c r="D67" s="3">
        <v>6136.95</v>
      </c>
      <c r="E67" s="2">
        <v>0.13</v>
      </c>
      <c r="F67" s="3">
        <v>0</v>
      </c>
      <c r="G67" s="2">
        <v>6136.95</v>
      </c>
      <c r="H67" s="3">
        <v>0</v>
      </c>
      <c r="I67" s="2">
        <v>10</v>
      </c>
    </row>
    <row r="68" spans="2:9" x14ac:dyDescent="0.25">
      <c r="B68" s="3" t="s">
        <v>71</v>
      </c>
      <c r="C68" s="2">
        <v>1</v>
      </c>
      <c r="D68" s="3">
        <v>6083.33</v>
      </c>
      <c r="E68" s="2">
        <v>0.38</v>
      </c>
      <c r="F68" s="3">
        <v>0</v>
      </c>
      <c r="G68" s="2">
        <v>6083.33</v>
      </c>
      <c r="H68" s="3">
        <v>0</v>
      </c>
      <c r="I68" s="2">
        <v>8</v>
      </c>
    </row>
    <row r="69" spans="2:9" x14ac:dyDescent="0.25">
      <c r="B69" s="3" t="s">
        <v>72</v>
      </c>
      <c r="C69" s="2">
        <v>1</v>
      </c>
      <c r="D69" s="3">
        <v>6623.03</v>
      </c>
      <c r="E69" s="2">
        <v>0.55000000000000004</v>
      </c>
      <c r="F69" s="3">
        <v>1</v>
      </c>
      <c r="G69" s="2">
        <v>7059.9</v>
      </c>
      <c r="H69" s="3">
        <v>0.01</v>
      </c>
      <c r="I69" s="2">
        <v>13</v>
      </c>
    </row>
    <row r="70" spans="2:9" x14ac:dyDescent="0.25">
      <c r="B70" s="3" t="s">
        <v>73</v>
      </c>
      <c r="C70" s="2">
        <v>1</v>
      </c>
      <c r="D70" s="3">
        <v>6187.48</v>
      </c>
      <c r="E70" s="2">
        <v>0.49</v>
      </c>
      <c r="F70" s="3">
        <v>0</v>
      </c>
      <c r="G70" s="2">
        <v>6187.48</v>
      </c>
      <c r="H70" s="3">
        <v>0</v>
      </c>
      <c r="I70" s="2">
        <v>23</v>
      </c>
    </row>
    <row r="71" spans="2:9" x14ac:dyDescent="0.25">
      <c r="B71" s="3" t="s">
        <v>74</v>
      </c>
      <c r="C71" s="2">
        <v>1</v>
      </c>
      <c r="D71" s="3">
        <v>6343.26</v>
      </c>
      <c r="E71" s="2">
        <v>0.54</v>
      </c>
      <c r="F71" s="3">
        <v>0</v>
      </c>
      <c r="G71" s="2">
        <v>6343.26</v>
      </c>
      <c r="H71" s="3">
        <v>0</v>
      </c>
      <c r="I71" s="2">
        <v>13</v>
      </c>
    </row>
    <row r="72" spans="2:9" x14ac:dyDescent="0.25">
      <c r="B72" s="3" t="s">
        <v>75</v>
      </c>
      <c r="C72" s="2">
        <v>1</v>
      </c>
      <c r="D72" s="3">
        <v>6408.99</v>
      </c>
      <c r="E72" s="2">
        <v>0.54</v>
      </c>
      <c r="F72" s="3">
        <v>0</v>
      </c>
      <c r="G72" s="2">
        <v>6408.99</v>
      </c>
      <c r="H72" s="3">
        <v>0</v>
      </c>
      <c r="I72" s="2">
        <v>20</v>
      </c>
    </row>
    <row r="73" spans="2:9" x14ac:dyDescent="0.25">
      <c r="B73" s="3" t="s">
        <v>76</v>
      </c>
      <c r="C73" s="2">
        <v>1</v>
      </c>
      <c r="D73" s="3">
        <v>7631.97</v>
      </c>
      <c r="E73" s="2">
        <v>0.48</v>
      </c>
      <c r="F73" s="3">
        <v>0</v>
      </c>
      <c r="G73" s="2">
        <v>7631.97</v>
      </c>
      <c r="H73" s="3">
        <v>0</v>
      </c>
      <c r="I73" s="2">
        <v>21</v>
      </c>
    </row>
    <row r="74" spans="2:9" x14ac:dyDescent="0.25">
      <c r="B74" s="3" t="s">
        <v>77</v>
      </c>
      <c r="C74" s="2">
        <v>1</v>
      </c>
      <c r="D74" s="3">
        <v>9206.34</v>
      </c>
      <c r="E74" s="2">
        <v>0.71</v>
      </c>
      <c r="F74" s="3">
        <v>0</v>
      </c>
      <c r="G74" s="2">
        <v>9206.34</v>
      </c>
      <c r="H74" s="3">
        <v>0</v>
      </c>
      <c r="I74" s="2">
        <v>27</v>
      </c>
    </row>
    <row r="75" spans="2:9" x14ac:dyDescent="0.25">
      <c r="B75" s="3" t="s">
        <v>78</v>
      </c>
      <c r="C75" s="2">
        <v>1</v>
      </c>
      <c r="D75" s="3">
        <v>8594.07</v>
      </c>
      <c r="E75" s="2">
        <v>1.0900000000000001</v>
      </c>
      <c r="F75" s="3">
        <v>0</v>
      </c>
      <c r="G75" s="2">
        <v>8594.07</v>
      </c>
      <c r="H75" s="3">
        <v>0</v>
      </c>
      <c r="I75" s="2">
        <v>50</v>
      </c>
    </row>
    <row r="76" spans="2:9" x14ac:dyDescent="0.25">
      <c r="B76" s="3" t="s">
        <v>79</v>
      </c>
      <c r="C76" s="2">
        <v>1</v>
      </c>
      <c r="D76" s="3">
        <v>7974.34</v>
      </c>
      <c r="E76" s="2">
        <v>0.57999999999999996</v>
      </c>
      <c r="F76" s="3">
        <v>0</v>
      </c>
      <c r="G76" s="2">
        <v>7974.34</v>
      </c>
      <c r="H76" s="3">
        <v>0</v>
      </c>
      <c r="I76" s="2">
        <v>17</v>
      </c>
    </row>
    <row r="77" spans="2:9" x14ac:dyDescent="0.25">
      <c r="B77" s="3" t="s">
        <v>80</v>
      </c>
      <c r="C77" s="2">
        <v>1</v>
      </c>
      <c r="D77" s="3">
        <v>9201.65</v>
      </c>
      <c r="E77" s="2">
        <v>0.79</v>
      </c>
      <c r="F77" s="3">
        <v>1</v>
      </c>
      <c r="G77" s="2">
        <v>9223.7099999999991</v>
      </c>
      <c r="H77" s="3">
        <v>0.02</v>
      </c>
      <c r="I77" s="2">
        <v>42</v>
      </c>
    </row>
    <row r="78" spans="2:9" x14ac:dyDescent="0.25">
      <c r="B78" s="3" t="s">
        <v>81</v>
      </c>
      <c r="C78" s="2">
        <v>1</v>
      </c>
      <c r="D78" s="3">
        <v>15832.66</v>
      </c>
      <c r="E78" s="2">
        <v>1.63</v>
      </c>
      <c r="F78" s="3">
        <v>0</v>
      </c>
      <c r="G78" s="2">
        <v>15832.66</v>
      </c>
      <c r="H78" s="3">
        <v>0</v>
      </c>
      <c r="I78" s="2">
        <v>121</v>
      </c>
    </row>
    <row r="79" spans="2:9" x14ac:dyDescent="0.25">
      <c r="B79" s="3" t="s">
        <v>82</v>
      </c>
      <c r="C79" s="2">
        <v>1</v>
      </c>
      <c r="D79" s="3">
        <v>16683.82</v>
      </c>
      <c r="E79" s="2">
        <v>2.23</v>
      </c>
      <c r="F79" s="3">
        <v>0</v>
      </c>
      <c r="G79" s="2">
        <v>16683.82</v>
      </c>
      <c r="H79" s="3">
        <v>0</v>
      </c>
      <c r="I79" s="2">
        <v>83</v>
      </c>
    </row>
    <row r="80" spans="2:9" x14ac:dyDescent="0.25">
      <c r="B80" s="3" t="s">
        <v>83</v>
      </c>
      <c r="C80" s="2">
        <v>1</v>
      </c>
      <c r="D80" s="3">
        <v>18761.400000000001</v>
      </c>
      <c r="E80" s="2">
        <v>2.89</v>
      </c>
      <c r="F80" s="3">
        <v>0</v>
      </c>
      <c r="G80" s="2">
        <v>18761.400000000001</v>
      </c>
      <c r="H80" s="3">
        <v>0</v>
      </c>
      <c r="I80" s="2">
        <v>90</v>
      </c>
    </row>
    <row r="81" spans="2:9" x14ac:dyDescent="0.25">
      <c r="B81" s="3" t="s">
        <v>84</v>
      </c>
      <c r="C81" s="2">
        <v>1</v>
      </c>
      <c r="D81" s="3">
        <v>16057.05</v>
      </c>
      <c r="E81" s="2">
        <v>1.41</v>
      </c>
      <c r="F81" s="3">
        <v>0</v>
      </c>
      <c r="G81" s="2">
        <v>16057.05</v>
      </c>
      <c r="H81" s="3">
        <v>0</v>
      </c>
      <c r="I81" s="2">
        <v>85</v>
      </c>
    </row>
    <row r="82" spans="2:9" x14ac:dyDescent="0.25">
      <c r="B82" s="3" t="s">
        <v>85</v>
      </c>
      <c r="C82" s="2">
        <v>1</v>
      </c>
      <c r="D82" s="3">
        <v>17136.07</v>
      </c>
      <c r="E82" s="2">
        <v>2.09</v>
      </c>
      <c r="F82" s="3">
        <v>1</v>
      </c>
      <c r="G82" s="2">
        <v>17158.13</v>
      </c>
      <c r="H82" s="3">
        <v>0.02</v>
      </c>
      <c r="I82" s="2">
        <v>123</v>
      </c>
    </row>
    <row r="83" spans="2:9" x14ac:dyDescent="0.25">
      <c r="B83" s="3" t="s">
        <v>86</v>
      </c>
      <c r="C83" s="2">
        <v>1</v>
      </c>
      <c r="D83" s="3">
        <v>3979.5</v>
      </c>
      <c r="E83" s="2">
        <v>1.45</v>
      </c>
      <c r="F83" s="3">
        <v>0</v>
      </c>
      <c r="G83" s="2">
        <v>3979.5</v>
      </c>
      <c r="H83" s="3">
        <v>0</v>
      </c>
      <c r="I83" s="2">
        <v>116</v>
      </c>
    </row>
    <row r="84" spans="2:9" x14ac:dyDescent="0.25">
      <c r="B84" s="3" t="s">
        <v>87</v>
      </c>
      <c r="C84" s="2">
        <v>1</v>
      </c>
      <c r="D84" s="3">
        <v>3101.33</v>
      </c>
      <c r="E84" s="2">
        <v>3.64</v>
      </c>
      <c r="F84" s="3">
        <v>0</v>
      </c>
      <c r="G84" s="2">
        <v>3101.33</v>
      </c>
      <c r="H84" s="3">
        <v>0</v>
      </c>
      <c r="I84" s="2">
        <v>313</v>
      </c>
    </row>
    <row r="85" spans="2:9" x14ac:dyDescent="0.25">
      <c r="B85" s="3" t="s">
        <v>88</v>
      </c>
      <c r="C85" s="2">
        <v>1</v>
      </c>
      <c r="D85" s="3">
        <v>3152.73</v>
      </c>
      <c r="E85" s="2">
        <v>1.72</v>
      </c>
      <c r="F85" s="3">
        <v>0</v>
      </c>
      <c r="G85" s="2">
        <v>3152.73</v>
      </c>
      <c r="H85" s="3">
        <v>0</v>
      </c>
      <c r="I85" s="2">
        <v>121</v>
      </c>
    </row>
    <row r="86" spans="2:9" x14ac:dyDescent="0.25">
      <c r="B86" s="3" t="s">
        <v>89</v>
      </c>
      <c r="C86" s="2">
        <v>1</v>
      </c>
      <c r="D86" s="3">
        <v>2624.49</v>
      </c>
      <c r="E86" s="2">
        <v>4.1100000000000003</v>
      </c>
      <c r="F86" s="3">
        <v>0</v>
      </c>
      <c r="G86" s="2">
        <v>2624.49</v>
      </c>
      <c r="H86" s="3">
        <v>0</v>
      </c>
      <c r="I86" s="2">
        <v>416</v>
      </c>
    </row>
    <row r="87" spans="2:9" x14ac:dyDescent="0.25">
      <c r="B87" s="3" t="s">
        <v>90</v>
      </c>
      <c r="C87" s="2">
        <v>1</v>
      </c>
      <c r="D87" s="3">
        <v>2541.46</v>
      </c>
      <c r="E87" s="2">
        <v>4.4000000000000004</v>
      </c>
      <c r="F87" s="3">
        <v>0</v>
      </c>
      <c r="G87" s="2">
        <v>2541.46</v>
      </c>
      <c r="H87" s="3">
        <v>0</v>
      </c>
      <c r="I87" s="2">
        <v>318</v>
      </c>
    </row>
    <row r="88" spans="2:9" x14ac:dyDescent="0.25">
      <c r="B88" s="3" t="s">
        <v>91</v>
      </c>
      <c r="C88" s="2">
        <v>1</v>
      </c>
      <c r="D88" s="3">
        <v>3852.25</v>
      </c>
      <c r="E88" s="2">
        <v>10.73</v>
      </c>
      <c r="F88" s="3">
        <v>0</v>
      </c>
      <c r="G88" s="2">
        <v>3852.25</v>
      </c>
      <c r="H88" s="3">
        <v>0</v>
      </c>
      <c r="I88" s="2">
        <v>1639</v>
      </c>
    </row>
    <row r="89" spans="2:9" x14ac:dyDescent="0.25">
      <c r="B89" s="3" t="s">
        <v>92</v>
      </c>
      <c r="C89" s="2">
        <v>1</v>
      </c>
      <c r="D89" s="3">
        <v>3147.04</v>
      </c>
      <c r="E89" s="2">
        <v>15.2</v>
      </c>
      <c r="F89" s="3">
        <v>0</v>
      </c>
      <c r="G89" s="2">
        <v>3147.04</v>
      </c>
      <c r="H89" s="3">
        <v>0.01</v>
      </c>
      <c r="I89" s="2">
        <v>2807</v>
      </c>
    </row>
    <row r="90" spans="2:9" x14ac:dyDescent="0.25">
      <c r="B90" s="3" t="s">
        <v>93</v>
      </c>
      <c r="C90" s="2">
        <v>1</v>
      </c>
      <c r="D90" s="3">
        <v>4027.81</v>
      </c>
      <c r="E90" s="2">
        <v>13.46</v>
      </c>
      <c r="F90" s="3">
        <v>0</v>
      </c>
      <c r="G90" s="2">
        <v>4027.81</v>
      </c>
      <c r="H90" s="3">
        <v>0</v>
      </c>
      <c r="I90" s="2">
        <v>1196</v>
      </c>
    </row>
    <row r="91" spans="2:9" x14ac:dyDescent="0.25">
      <c r="B91" s="3" t="s">
        <v>94</v>
      </c>
      <c r="C91" s="2">
        <v>1</v>
      </c>
      <c r="D91" s="3">
        <v>4180.76</v>
      </c>
      <c r="E91" s="2">
        <v>11.3</v>
      </c>
      <c r="F91" s="3">
        <v>0</v>
      </c>
      <c r="G91" s="2">
        <v>4180.76</v>
      </c>
      <c r="H91" s="3">
        <v>0</v>
      </c>
      <c r="I91" s="2">
        <v>1419</v>
      </c>
    </row>
    <row r="92" spans="2:9" x14ac:dyDescent="0.25">
      <c r="B92" s="3" t="s">
        <v>95</v>
      </c>
      <c r="C92" s="2">
        <v>1</v>
      </c>
      <c r="D92" s="3">
        <v>4204.84</v>
      </c>
      <c r="E92" s="2">
        <v>8.82</v>
      </c>
      <c r="F92" s="3">
        <v>2</v>
      </c>
      <c r="G92" s="2">
        <v>4355.8900000000003</v>
      </c>
      <c r="H92" s="3">
        <v>0.97</v>
      </c>
      <c r="I92" s="2">
        <v>998</v>
      </c>
    </row>
    <row r="93" spans="2:9" x14ac:dyDescent="0.25">
      <c r="B93" s="3" t="s">
        <v>96</v>
      </c>
      <c r="C93" s="2">
        <v>1</v>
      </c>
      <c r="D93" s="3">
        <v>5211.1499999999996</v>
      </c>
      <c r="E93" s="2">
        <v>45.14</v>
      </c>
      <c r="F93" s="3">
        <v>0</v>
      </c>
      <c r="G93" s="2">
        <v>5211.1499999999996</v>
      </c>
      <c r="H93" s="3">
        <v>0.01</v>
      </c>
      <c r="I93" s="2">
        <v>5341</v>
      </c>
    </row>
    <row r="94" spans="2:9" x14ac:dyDescent="0.25">
      <c r="B94" s="3" t="s">
        <v>97</v>
      </c>
      <c r="C94" s="2">
        <v>1</v>
      </c>
      <c r="D94" s="3">
        <v>5243.58</v>
      </c>
      <c r="E94" s="2">
        <v>103.47</v>
      </c>
      <c r="F94" s="3">
        <v>0</v>
      </c>
      <c r="G94" s="2">
        <v>5243.58</v>
      </c>
      <c r="H94" s="3">
        <v>0.01</v>
      </c>
      <c r="I94" s="2">
        <v>6605</v>
      </c>
    </row>
    <row r="95" spans="2:9" x14ac:dyDescent="0.25">
      <c r="B95" s="3" t="s">
        <v>98</v>
      </c>
      <c r="C95" s="2">
        <v>1</v>
      </c>
      <c r="D95" s="3">
        <v>5662.22</v>
      </c>
      <c r="E95" s="2">
        <v>23.77</v>
      </c>
      <c r="F95" s="3">
        <v>1</v>
      </c>
      <c r="G95" s="2">
        <v>5705.57</v>
      </c>
      <c r="H95" s="3">
        <v>0.45</v>
      </c>
      <c r="I95" s="2">
        <v>3387</v>
      </c>
    </row>
    <row r="96" spans="2:9" x14ac:dyDescent="0.25">
      <c r="B96" s="3" t="s">
        <v>99</v>
      </c>
      <c r="C96" s="2">
        <v>1</v>
      </c>
      <c r="D96" s="3">
        <v>4424.79</v>
      </c>
      <c r="E96" s="2">
        <v>101.89</v>
      </c>
      <c r="F96" s="3">
        <v>0</v>
      </c>
      <c r="G96" s="2">
        <v>4424.79</v>
      </c>
      <c r="H96" s="3">
        <v>0.03</v>
      </c>
      <c r="I96" s="2">
        <v>18896</v>
      </c>
    </row>
    <row r="97" spans="2:9" x14ac:dyDescent="0.25">
      <c r="B97" s="3" t="s">
        <v>100</v>
      </c>
      <c r="C97" s="2">
        <v>1</v>
      </c>
      <c r="D97" s="3">
        <v>4973.2700000000004</v>
      </c>
      <c r="E97" s="2">
        <v>35.049999999999997</v>
      </c>
      <c r="F97" s="3">
        <v>0</v>
      </c>
      <c r="G97" s="2">
        <v>4973.2700000000004</v>
      </c>
      <c r="H97" s="3">
        <v>0.01</v>
      </c>
      <c r="I97" s="2">
        <v>5036</v>
      </c>
    </row>
    <row r="98" spans="2:9" x14ac:dyDescent="0.25">
      <c r="B98" s="3" t="s">
        <v>101</v>
      </c>
      <c r="C98" s="2">
        <v>0</v>
      </c>
      <c r="D98" s="3" t="s">
        <v>156</v>
      </c>
      <c r="E98" s="2" t="s">
        <v>156</v>
      </c>
      <c r="F98" s="3"/>
      <c r="G98" s="2"/>
      <c r="H98" s="3"/>
      <c r="I98" s="2" t="s">
        <v>156</v>
      </c>
    </row>
    <row r="99" spans="2:9" x14ac:dyDescent="0.25">
      <c r="B99" s="3" t="s">
        <v>102</v>
      </c>
      <c r="C99" s="2">
        <v>0</v>
      </c>
      <c r="D99" s="3" t="s">
        <v>156</v>
      </c>
      <c r="E99" s="2" t="s">
        <v>156</v>
      </c>
      <c r="F99" s="3"/>
      <c r="G99" s="2"/>
      <c r="H99" s="3"/>
      <c r="I99" s="2" t="s">
        <v>156</v>
      </c>
    </row>
    <row r="100" spans="2:9" x14ac:dyDescent="0.25">
      <c r="B100" s="3" t="s">
        <v>103</v>
      </c>
      <c r="C100" s="2">
        <v>1</v>
      </c>
      <c r="D100" s="3">
        <v>9353.43</v>
      </c>
      <c r="E100" s="2">
        <v>1543.87</v>
      </c>
      <c r="F100" s="3">
        <v>0</v>
      </c>
      <c r="G100" s="2">
        <v>9353.43</v>
      </c>
      <c r="H100" s="3">
        <v>0.08</v>
      </c>
      <c r="I100" s="2">
        <v>66618</v>
      </c>
    </row>
    <row r="101" spans="2:9" x14ac:dyDescent="0.25">
      <c r="B101" s="3" t="s">
        <v>104</v>
      </c>
      <c r="C101" s="2">
        <v>0</v>
      </c>
      <c r="D101" s="3" t="s">
        <v>156</v>
      </c>
      <c r="E101" s="2" t="s">
        <v>156</v>
      </c>
      <c r="F101" s="3"/>
      <c r="G101" s="2"/>
      <c r="H101" s="3"/>
      <c r="I101" s="2" t="s">
        <v>156</v>
      </c>
    </row>
    <row r="102" spans="2:9" x14ac:dyDescent="0.25">
      <c r="B102" s="3" t="s">
        <v>105</v>
      </c>
      <c r="C102" s="2">
        <v>0</v>
      </c>
      <c r="D102" s="3" t="s">
        <v>156</v>
      </c>
      <c r="E102" s="2" t="s">
        <v>156</v>
      </c>
      <c r="F102" s="3"/>
      <c r="G102" s="2"/>
      <c r="H102" s="3"/>
      <c r="I102" s="2" t="s">
        <v>156</v>
      </c>
    </row>
    <row r="103" spans="2:9" x14ac:dyDescent="0.25">
      <c r="B103" s="3" t="s">
        <v>106</v>
      </c>
      <c r="C103" s="2">
        <v>1</v>
      </c>
      <c r="D103" s="3">
        <v>2674.17</v>
      </c>
      <c r="E103" s="2">
        <v>1.1599999999999999</v>
      </c>
      <c r="F103" s="3">
        <v>0</v>
      </c>
      <c r="G103" s="2">
        <v>2674.17</v>
      </c>
      <c r="H103" s="3">
        <v>0</v>
      </c>
      <c r="I103" s="2">
        <v>51</v>
      </c>
    </row>
    <row r="104" spans="2:9" x14ac:dyDescent="0.25">
      <c r="B104" s="3" t="s">
        <v>107</v>
      </c>
      <c r="C104" s="2">
        <v>1</v>
      </c>
      <c r="D104" s="3">
        <v>3448.39</v>
      </c>
      <c r="E104" s="2">
        <v>0.47</v>
      </c>
      <c r="F104" s="3">
        <v>0</v>
      </c>
      <c r="G104" s="2">
        <v>3448.39</v>
      </c>
      <c r="H104" s="3">
        <v>0</v>
      </c>
      <c r="I104" s="2">
        <v>16</v>
      </c>
    </row>
    <row r="105" spans="2:9" x14ac:dyDescent="0.25">
      <c r="B105" s="3" t="s">
        <v>108</v>
      </c>
      <c r="C105" s="2">
        <v>1</v>
      </c>
      <c r="D105" s="3">
        <v>2950.77</v>
      </c>
      <c r="E105" s="2">
        <v>1.51</v>
      </c>
      <c r="F105" s="3">
        <v>1</v>
      </c>
      <c r="G105" s="2">
        <v>3199.58</v>
      </c>
      <c r="H105" s="3">
        <v>0.06</v>
      </c>
      <c r="I105" s="2">
        <v>71</v>
      </c>
    </row>
    <row r="106" spans="2:9" x14ac:dyDescent="0.25">
      <c r="B106" s="3" t="s">
        <v>109</v>
      </c>
      <c r="C106" s="2">
        <v>1</v>
      </c>
      <c r="D106" s="3">
        <v>2815.18</v>
      </c>
      <c r="E106" s="2">
        <v>0.99</v>
      </c>
      <c r="F106" s="3">
        <v>0</v>
      </c>
      <c r="G106" s="2">
        <v>2815.18</v>
      </c>
      <c r="H106" s="3">
        <v>0</v>
      </c>
      <c r="I106" s="2">
        <v>43</v>
      </c>
    </row>
    <row r="107" spans="2:9" x14ac:dyDescent="0.25">
      <c r="B107" s="3" t="s">
        <v>110</v>
      </c>
      <c r="C107" s="2">
        <v>1</v>
      </c>
      <c r="D107" s="3">
        <v>3347.4</v>
      </c>
      <c r="E107" s="2">
        <v>0.62</v>
      </c>
      <c r="F107" s="3">
        <v>0</v>
      </c>
      <c r="G107" s="2">
        <v>3347.4</v>
      </c>
      <c r="H107" s="3">
        <v>0</v>
      </c>
      <c r="I107" s="2">
        <v>34</v>
      </c>
    </row>
    <row r="108" spans="2:9" x14ac:dyDescent="0.25">
      <c r="B108" s="3" t="s">
        <v>111</v>
      </c>
      <c r="C108" s="2">
        <v>1</v>
      </c>
      <c r="D108" s="3">
        <v>4066.18</v>
      </c>
      <c r="E108" s="2">
        <v>2.8</v>
      </c>
      <c r="F108" s="3">
        <v>1</v>
      </c>
      <c r="G108" s="2">
        <v>4090.42</v>
      </c>
      <c r="H108" s="3">
        <v>0.25</v>
      </c>
      <c r="I108" s="2">
        <v>173</v>
      </c>
    </row>
    <row r="109" spans="2:9" x14ac:dyDescent="0.25">
      <c r="B109" s="3" t="s">
        <v>112</v>
      </c>
      <c r="C109" s="2">
        <v>1</v>
      </c>
      <c r="D109" s="3">
        <v>4135.59</v>
      </c>
      <c r="E109" s="2">
        <v>0.69</v>
      </c>
      <c r="F109" s="3">
        <v>2</v>
      </c>
      <c r="G109" s="2">
        <v>4265.6099999999997</v>
      </c>
      <c r="H109" s="3">
        <v>0.38</v>
      </c>
      <c r="I109" s="2">
        <v>22</v>
      </c>
    </row>
    <row r="110" spans="2:9" x14ac:dyDescent="0.25">
      <c r="B110" s="3" t="s">
        <v>113</v>
      </c>
      <c r="C110" s="2">
        <v>1</v>
      </c>
      <c r="D110" s="3">
        <v>4722.3999999999996</v>
      </c>
      <c r="E110" s="2">
        <v>0.51</v>
      </c>
      <c r="F110" s="3">
        <v>1</v>
      </c>
      <c r="G110" s="2">
        <v>4764.7</v>
      </c>
      <c r="H110" s="3">
        <v>0.03</v>
      </c>
      <c r="I110" s="2">
        <v>17</v>
      </c>
    </row>
    <row r="111" spans="2:9" x14ac:dyDescent="0.25">
      <c r="B111" s="3" t="s">
        <v>114</v>
      </c>
      <c r="C111" s="2">
        <v>1</v>
      </c>
      <c r="D111" s="3">
        <v>3934.95</v>
      </c>
      <c r="E111" s="2">
        <v>0.82</v>
      </c>
      <c r="F111" s="3">
        <v>2</v>
      </c>
      <c r="G111" s="2">
        <v>4037.71</v>
      </c>
      <c r="H111" s="3">
        <v>0.86</v>
      </c>
      <c r="I111" s="2">
        <v>27</v>
      </c>
    </row>
    <row r="112" spans="2:9" x14ac:dyDescent="0.25">
      <c r="B112" s="3" t="s">
        <v>115</v>
      </c>
      <c r="C112" s="2">
        <v>1</v>
      </c>
      <c r="D112" s="3">
        <v>4556.5200000000004</v>
      </c>
      <c r="E112" s="2">
        <v>1.69</v>
      </c>
      <c r="F112" s="3">
        <v>1</v>
      </c>
      <c r="G112" s="2">
        <v>4558.7700000000004</v>
      </c>
      <c r="H112" s="3">
        <v>0.59</v>
      </c>
      <c r="I112" s="2">
        <v>65</v>
      </c>
    </row>
    <row r="113" spans="2:9" x14ac:dyDescent="0.25">
      <c r="B113" s="3" t="s">
        <v>116</v>
      </c>
      <c r="C113" s="2">
        <v>1</v>
      </c>
      <c r="D113" s="3">
        <v>4541.0600000000004</v>
      </c>
      <c r="E113" s="2">
        <v>4.6100000000000003</v>
      </c>
      <c r="F113" s="3">
        <v>5</v>
      </c>
      <c r="G113" s="2">
        <v>4628.46</v>
      </c>
      <c r="H113" s="3">
        <v>1.89</v>
      </c>
      <c r="I113" s="2">
        <v>225</v>
      </c>
    </row>
    <row r="114" spans="2:9" x14ac:dyDescent="0.25">
      <c r="B114" s="3" t="s">
        <v>117</v>
      </c>
      <c r="C114" s="2">
        <v>1</v>
      </c>
      <c r="D114" s="3">
        <v>5946.49</v>
      </c>
      <c r="E114" s="2">
        <v>3.31</v>
      </c>
      <c r="F114" s="3">
        <v>3</v>
      </c>
      <c r="G114" s="2">
        <v>5964.5</v>
      </c>
      <c r="H114" s="3">
        <v>0.46</v>
      </c>
      <c r="I114" s="2">
        <v>128</v>
      </c>
    </row>
    <row r="115" spans="2:9" x14ac:dyDescent="0.25">
      <c r="B115" s="3" t="s">
        <v>118</v>
      </c>
      <c r="C115" s="2">
        <v>1</v>
      </c>
      <c r="D115" s="3">
        <v>5202.07</v>
      </c>
      <c r="E115" s="2">
        <v>6.62</v>
      </c>
      <c r="F115" s="3">
        <v>1</v>
      </c>
      <c r="G115" s="2">
        <v>5273.93</v>
      </c>
      <c r="H115" s="3">
        <v>0.19</v>
      </c>
      <c r="I115" s="2">
        <v>418</v>
      </c>
    </row>
    <row r="116" spans="2:9" x14ac:dyDescent="0.25">
      <c r="B116" s="3" t="s">
        <v>119</v>
      </c>
      <c r="C116" s="2">
        <v>1</v>
      </c>
      <c r="D116" s="3">
        <v>4242.0600000000004</v>
      </c>
      <c r="E116" s="2">
        <v>5.57</v>
      </c>
      <c r="F116" s="3">
        <v>7</v>
      </c>
      <c r="G116" s="2">
        <v>4467.74</v>
      </c>
      <c r="H116" s="3">
        <v>2.16</v>
      </c>
      <c r="I116" s="2">
        <v>225</v>
      </c>
    </row>
    <row r="117" spans="2:9" x14ac:dyDescent="0.25">
      <c r="B117" s="3" t="s">
        <v>120</v>
      </c>
      <c r="C117" s="2">
        <v>1</v>
      </c>
      <c r="D117" s="3">
        <v>4891.25</v>
      </c>
      <c r="E117" s="2">
        <v>7.53</v>
      </c>
      <c r="F117" s="3">
        <v>4</v>
      </c>
      <c r="G117" s="2">
        <v>5051.62</v>
      </c>
      <c r="H117" s="3">
        <v>1.41</v>
      </c>
      <c r="I117" s="2">
        <v>472</v>
      </c>
    </row>
    <row r="118" spans="2:9" x14ac:dyDescent="0.25">
      <c r="B118" s="3" t="s">
        <v>121</v>
      </c>
      <c r="C118" s="2">
        <v>1</v>
      </c>
      <c r="D118" s="3">
        <v>8931.92</v>
      </c>
      <c r="E118" s="2">
        <v>137.19999999999999</v>
      </c>
      <c r="F118" s="3">
        <v>81</v>
      </c>
      <c r="G118" s="2">
        <v>9721.74</v>
      </c>
      <c r="H118" s="3">
        <v>457.7</v>
      </c>
      <c r="I118" s="2">
        <v>5099</v>
      </c>
    </row>
    <row r="119" spans="2:9" x14ac:dyDescent="0.25">
      <c r="B119" s="3" t="s">
        <v>122</v>
      </c>
      <c r="C119" s="2">
        <v>1</v>
      </c>
      <c r="D119" s="3">
        <v>9359.7199999999993</v>
      </c>
      <c r="E119" s="2">
        <v>30.37</v>
      </c>
      <c r="F119" s="3">
        <v>24</v>
      </c>
      <c r="G119" s="2">
        <v>9929.9500000000007</v>
      </c>
      <c r="H119" s="3">
        <v>50.94</v>
      </c>
      <c r="I119" s="2">
        <v>1254</v>
      </c>
    </row>
    <row r="120" spans="2:9" x14ac:dyDescent="0.25">
      <c r="B120" s="3" t="s">
        <v>123</v>
      </c>
      <c r="C120" s="2">
        <v>1</v>
      </c>
      <c r="D120" s="3">
        <v>10886.29</v>
      </c>
      <c r="E120" s="2">
        <v>52.09</v>
      </c>
      <c r="F120" s="3">
        <v>8</v>
      </c>
      <c r="G120" s="2">
        <v>11340.59</v>
      </c>
      <c r="H120" s="3">
        <v>3.64</v>
      </c>
      <c r="I120" s="2">
        <v>1797</v>
      </c>
    </row>
    <row r="121" spans="2:9" x14ac:dyDescent="0.25">
      <c r="B121" s="3" t="s">
        <v>124</v>
      </c>
      <c r="C121" s="2">
        <v>1</v>
      </c>
      <c r="D121" s="3">
        <v>7735.35</v>
      </c>
      <c r="E121" s="2">
        <v>171.38</v>
      </c>
      <c r="F121" s="3">
        <v>60</v>
      </c>
      <c r="G121" s="2">
        <v>8481.2099999999991</v>
      </c>
      <c r="H121" s="3">
        <v>166.63</v>
      </c>
      <c r="I121" s="2">
        <v>6819</v>
      </c>
    </row>
    <row r="122" spans="2:9" ht="15.75" thickBot="1" x14ac:dyDescent="0.3">
      <c r="B122" s="6" t="s">
        <v>125</v>
      </c>
      <c r="C122" s="7">
        <v>1</v>
      </c>
      <c r="D122" s="6">
        <v>9082.58</v>
      </c>
      <c r="E122" s="7">
        <v>108.73</v>
      </c>
      <c r="F122" s="6">
        <v>10</v>
      </c>
      <c r="G122" s="7">
        <v>9435.83</v>
      </c>
      <c r="H122" s="6">
        <v>9.24</v>
      </c>
      <c r="I122" s="7">
        <v>4797</v>
      </c>
    </row>
    <row r="123" spans="2:9" x14ac:dyDescent="0.25">
      <c r="B123" s="4" t="s">
        <v>126</v>
      </c>
      <c r="C123" s="5">
        <v>0</v>
      </c>
      <c r="D123" s="4" t="s">
        <v>156</v>
      </c>
      <c r="E123" s="5" t="s">
        <v>156</v>
      </c>
      <c r="F123" s="4" t="s">
        <v>156</v>
      </c>
      <c r="G123" s="5" t="s">
        <v>156</v>
      </c>
      <c r="H123" s="4" t="s">
        <v>156</v>
      </c>
      <c r="I123" s="5" t="s">
        <v>156</v>
      </c>
    </row>
    <row r="124" spans="2:9" x14ac:dyDescent="0.25">
      <c r="B124" s="3" t="s">
        <v>127</v>
      </c>
      <c r="C124" s="2">
        <v>0</v>
      </c>
      <c r="D124" s="3" t="s">
        <v>156</v>
      </c>
      <c r="E124" s="2" t="s">
        <v>156</v>
      </c>
      <c r="F124" s="3" t="s">
        <v>156</v>
      </c>
      <c r="G124" s="2" t="s">
        <v>156</v>
      </c>
      <c r="H124" s="3" t="s">
        <v>156</v>
      </c>
      <c r="I124" s="2" t="s">
        <v>156</v>
      </c>
    </row>
    <row r="125" spans="2:9" x14ac:dyDescent="0.25">
      <c r="B125" s="3" t="s">
        <v>128</v>
      </c>
      <c r="C125" s="2">
        <v>0</v>
      </c>
      <c r="D125" s="3" t="s">
        <v>156</v>
      </c>
      <c r="E125" s="2" t="s">
        <v>156</v>
      </c>
      <c r="F125" s="3" t="s">
        <v>156</v>
      </c>
      <c r="G125" s="2" t="s">
        <v>156</v>
      </c>
      <c r="H125" s="3" t="s">
        <v>156</v>
      </c>
      <c r="I125" s="2" t="s">
        <v>156</v>
      </c>
    </row>
    <row r="126" spans="2:9" x14ac:dyDescent="0.25">
      <c r="B126" s="3" t="s">
        <v>129</v>
      </c>
      <c r="C126" s="2">
        <v>0</v>
      </c>
      <c r="D126" s="3" t="s">
        <v>156</v>
      </c>
      <c r="E126" s="2" t="s">
        <v>156</v>
      </c>
      <c r="F126" s="3" t="s">
        <v>156</v>
      </c>
      <c r="G126" s="2" t="s">
        <v>156</v>
      </c>
      <c r="H126" s="3" t="s">
        <v>156</v>
      </c>
      <c r="I126" s="2" t="s">
        <v>156</v>
      </c>
    </row>
    <row r="127" spans="2:9" x14ac:dyDescent="0.25">
      <c r="B127" s="3" t="s">
        <v>130</v>
      </c>
      <c r="C127" s="2">
        <v>0</v>
      </c>
      <c r="D127" s="3" t="s">
        <v>156</v>
      </c>
      <c r="E127" s="2" t="s">
        <v>156</v>
      </c>
      <c r="F127" s="3" t="s">
        <v>156</v>
      </c>
      <c r="G127" s="2" t="s">
        <v>156</v>
      </c>
      <c r="H127" s="3" t="s">
        <v>156</v>
      </c>
      <c r="I127" s="2" t="s">
        <v>156</v>
      </c>
    </row>
    <row r="128" spans="2:9" x14ac:dyDescent="0.25">
      <c r="B128" s="3" t="s">
        <v>131</v>
      </c>
      <c r="C128" s="2">
        <v>1</v>
      </c>
      <c r="D128" s="3">
        <v>25573.27</v>
      </c>
      <c r="E128" s="2">
        <v>259.48</v>
      </c>
      <c r="F128" s="3">
        <v>8</v>
      </c>
      <c r="G128" s="2">
        <v>26275.88</v>
      </c>
      <c r="H128" s="3">
        <v>3.1</v>
      </c>
      <c r="I128" s="2" t="s">
        <v>156</v>
      </c>
    </row>
    <row r="129" spans="2:9" x14ac:dyDescent="0.25">
      <c r="B129" s="3" t="s">
        <v>132</v>
      </c>
      <c r="C129" s="2">
        <v>1</v>
      </c>
      <c r="D129" s="3">
        <v>26428.76</v>
      </c>
      <c r="E129" s="2">
        <v>220.5</v>
      </c>
      <c r="F129" s="3">
        <v>2</v>
      </c>
      <c r="G129" s="2">
        <v>26519.39</v>
      </c>
      <c r="H129" s="3">
        <v>0.75</v>
      </c>
      <c r="I129" s="2" t="s">
        <v>156</v>
      </c>
    </row>
    <row r="130" spans="2:9" x14ac:dyDescent="0.25">
      <c r="B130" s="3" t="s">
        <v>133</v>
      </c>
      <c r="C130" s="2">
        <v>1</v>
      </c>
      <c r="D130" s="3">
        <v>25528.86</v>
      </c>
      <c r="E130" s="2">
        <v>320.27</v>
      </c>
      <c r="F130" s="3">
        <v>6</v>
      </c>
      <c r="G130" s="2">
        <v>26926.87</v>
      </c>
      <c r="H130" s="3">
        <v>1.86</v>
      </c>
      <c r="I130" s="2" t="s">
        <v>156</v>
      </c>
    </row>
    <row r="131" spans="2:9" x14ac:dyDescent="0.25">
      <c r="B131" s="3" t="s">
        <v>134</v>
      </c>
      <c r="C131" s="2">
        <v>1</v>
      </c>
      <c r="D131" s="3">
        <v>23996.62</v>
      </c>
      <c r="E131" s="2">
        <v>474.14</v>
      </c>
      <c r="F131" s="3">
        <v>10</v>
      </c>
      <c r="G131" s="2">
        <v>25354.14</v>
      </c>
      <c r="H131" s="3">
        <v>4.8499999999999996</v>
      </c>
      <c r="I131" s="2" t="s">
        <v>156</v>
      </c>
    </row>
    <row r="132" spans="2:9" x14ac:dyDescent="0.25">
      <c r="B132" s="3" t="s">
        <v>135</v>
      </c>
      <c r="C132" s="2">
        <v>1</v>
      </c>
      <c r="D132" s="3">
        <v>24125.35</v>
      </c>
      <c r="E132" s="2">
        <v>542.13</v>
      </c>
      <c r="F132" s="3">
        <v>9</v>
      </c>
      <c r="G132" s="2">
        <v>24607.21</v>
      </c>
      <c r="H132" s="3">
        <v>5.73</v>
      </c>
      <c r="I132" s="2" t="s">
        <v>156</v>
      </c>
    </row>
    <row r="133" spans="2:9" x14ac:dyDescent="0.25">
      <c r="B133" s="3" t="s">
        <v>136</v>
      </c>
      <c r="C133" s="2">
        <v>1</v>
      </c>
      <c r="D133" s="3">
        <v>25668.35</v>
      </c>
      <c r="E133" s="2">
        <v>2419.46</v>
      </c>
      <c r="F133" s="3">
        <v>0</v>
      </c>
      <c r="G133" s="2">
        <v>25668.35</v>
      </c>
      <c r="H133" s="3">
        <v>0.06</v>
      </c>
      <c r="I133" s="2" t="s">
        <v>156</v>
      </c>
    </row>
    <row r="134" spans="2:9" x14ac:dyDescent="0.25">
      <c r="B134" s="3" t="s">
        <v>137</v>
      </c>
      <c r="C134" s="2">
        <v>1</v>
      </c>
      <c r="D134" s="3">
        <v>26060.66</v>
      </c>
      <c r="E134" s="2">
        <v>1666.9</v>
      </c>
      <c r="F134" s="3">
        <v>1</v>
      </c>
      <c r="G134" s="2">
        <v>26119.5</v>
      </c>
      <c r="H134" s="3">
        <v>1.83</v>
      </c>
      <c r="I134" s="2" t="s">
        <v>156</v>
      </c>
    </row>
    <row r="135" spans="2:9" x14ac:dyDescent="0.25">
      <c r="B135" s="3" t="s">
        <v>138</v>
      </c>
      <c r="C135" s="2">
        <v>1</v>
      </c>
      <c r="D135" s="3">
        <v>26078.93</v>
      </c>
      <c r="E135" s="2">
        <v>691.82</v>
      </c>
      <c r="F135" s="3">
        <v>0</v>
      </c>
      <c r="G135" s="2">
        <v>26078.93</v>
      </c>
      <c r="H135" s="3">
        <v>0</v>
      </c>
      <c r="I135" s="2" t="s">
        <v>156</v>
      </c>
    </row>
    <row r="136" spans="2:9" x14ac:dyDescent="0.25">
      <c r="B136" s="3" t="s">
        <v>139</v>
      </c>
      <c r="C136" s="2">
        <v>1</v>
      </c>
      <c r="D136" s="3">
        <v>24405.02</v>
      </c>
      <c r="E136" s="2">
        <v>2181.98</v>
      </c>
      <c r="F136" s="3">
        <v>0</v>
      </c>
      <c r="G136" s="2">
        <v>24405.02</v>
      </c>
      <c r="H136" s="3">
        <v>0</v>
      </c>
      <c r="I136" s="2" t="s">
        <v>156</v>
      </c>
    </row>
    <row r="137" spans="2:9" x14ac:dyDescent="0.25">
      <c r="B137" s="3" t="s">
        <v>140</v>
      </c>
      <c r="C137" s="2">
        <v>1</v>
      </c>
      <c r="D137" s="3">
        <v>25041.73</v>
      </c>
      <c r="E137" s="2">
        <v>592.21</v>
      </c>
      <c r="F137" s="3">
        <v>1</v>
      </c>
      <c r="G137" s="2">
        <v>25094.48</v>
      </c>
      <c r="H137" s="3">
        <v>1.01</v>
      </c>
      <c r="I137" s="2" t="s">
        <v>156</v>
      </c>
    </row>
    <row r="138" spans="2:9" x14ac:dyDescent="0.25">
      <c r="B138" s="3" t="s">
        <v>141</v>
      </c>
      <c r="C138" s="2">
        <v>1</v>
      </c>
      <c r="D138" s="3">
        <v>30822.400000000001</v>
      </c>
      <c r="E138" s="2">
        <v>8.83</v>
      </c>
      <c r="F138" s="3">
        <v>0</v>
      </c>
      <c r="G138" s="2">
        <v>30822.400000000001</v>
      </c>
      <c r="H138" s="3">
        <v>0</v>
      </c>
      <c r="I138" s="2" t="s">
        <v>156</v>
      </c>
    </row>
    <row r="139" spans="2:9" x14ac:dyDescent="0.25">
      <c r="B139" s="3" t="s">
        <v>142</v>
      </c>
      <c r="C139" s="2">
        <v>1</v>
      </c>
      <c r="D139" s="3">
        <v>34298.519999999997</v>
      </c>
      <c r="E139" s="2">
        <v>14.14</v>
      </c>
      <c r="F139" s="3">
        <v>0</v>
      </c>
      <c r="G139" s="2">
        <v>34298.519999999997</v>
      </c>
      <c r="H139" s="3">
        <v>0</v>
      </c>
      <c r="I139" s="2" t="s">
        <v>156</v>
      </c>
    </row>
    <row r="140" spans="2:9" x14ac:dyDescent="0.25">
      <c r="B140" s="3" t="s">
        <v>143</v>
      </c>
      <c r="C140" s="2">
        <v>1</v>
      </c>
      <c r="D140" s="3">
        <v>32673.06</v>
      </c>
      <c r="E140" s="2">
        <v>12.37</v>
      </c>
      <c r="F140" s="3">
        <v>1</v>
      </c>
      <c r="G140" s="2">
        <v>32678.65</v>
      </c>
      <c r="H140" s="3">
        <v>0.02</v>
      </c>
      <c r="I140" s="2" t="s">
        <v>156</v>
      </c>
    </row>
    <row r="141" spans="2:9" x14ac:dyDescent="0.25">
      <c r="B141" s="3" t="s">
        <v>144</v>
      </c>
      <c r="C141" s="2">
        <v>1</v>
      </c>
      <c r="D141" s="3">
        <v>31121.59</v>
      </c>
      <c r="E141" s="2">
        <v>10.24</v>
      </c>
      <c r="F141" s="3">
        <v>1</v>
      </c>
      <c r="G141" s="2">
        <v>31143.65</v>
      </c>
      <c r="H141" s="3">
        <v>0.04</v>
      </c>
      <c r="I141" s="2" t="s">
        <v>156</v>
      </c>
    </row>
    <row r="142" spans="2:9" x14ac:dyDescent="0.25">
      <c r="B142" s="3" t="s">
        <v>145</v>
      </c>
      <c r="C142" s="2">
        <v>1</v>
      </c>
      <c r="D142" s="3">
        <v>29434.68</v>
      </c>
      <c r="E142" s="2">
        <v>11.7</v>
      </c>
      <c r="F142" s="3">
        <v>1</v>
      </c>
      <c r="G142" s="2">
        <v>29499.52</v>
      </c>
      <c r="H142" s="3">
        <v>0.06</v>
      </c>
      <c r="I142" s="2" t="s">
        <v>156</v>
      </c>
    </row>
    <row r="143" spans="2:9" x14ac:dyDescent="0.25">
      <c r="B143" s="3" t="s">
        <v>146</v>
      </c>
      <c r="C143" s="2">
        <v>0</v>
      </c>
      <c r="D143" s="3" t="s">
        <v>156</v>
      </c>
      <c r="E143" s="2" t="s">
        <v>156</v>
      </c>
      <c r="F143" s="3" t="s">
        <v>156</v>
      </c>
      <c r="G143" s="2" t="s">
        <v>156</v>
      </c>
      <c r="H143" s="3" t="s">
        <v>156</v>
      </c>
      <c r="I143" s="2" t="s">
        <v>156</v>
      </c>
    </row>
    <row r="144" spans="2:9" x14ac:dyDescent="0.25">
      <c r="B144" s="3" t="s">
        <v>147</v>
      </c>
      <c r="C144" s="2">
        <v>0</v>
      </c>
      <c r="D144" s="3" t="s">
        <v>156</v>
      </c>
      <c r="E144" s="2" t="s">
        <v>156</v>
      </c>
      <c r="F144" s="3" t="s">
        <v>156</v>
      </c>
      <c r="G144" s="2" t="s">
        <v>156</v>
      </c>
      <c r="H144" s="3" t="s">
        <v>156</v>
      </c>
      <c r="I144" s="2" t="s">
        <v>156</v>
      </c>
    </row>
    <row r="145" spans="2:9" x14ac:dyDescent="0.25">
      <c r="B145" s="3" t="s">
        <v>148</v>
      </c>
      <c r="C145" s="2">
        <v>0</v>
      </c>
      <c r="D145" s="3" t="s">
        <v>156</v>
      </c>
      <c r="E145" s="2" t="s">
        <v>156</v>
      </c>
      <c r="F145" s="3" t="s">
        <v>156</v>
      </c>
      <c r="G145" s="2" t="s">
        <v>156</v>
      </c>
      <c r="H145" s="3" t="s">
        <v>156</v>
      </c>
      <c r="I145" s="2" t="s">
        <v>156</v>
      </c>
    </row>
    <row r="146" spans="2:9" x14ac:dyDescent="0.25">
      <c r="B146" s="3" t="s">
        <v>149</v>
      </c>
      <c r="C146" s="2">
        <v>0</v>
      </c>
      <c r="D146" s="3" t="s">
        <v>156</v>
      </c>
      <c r="E146" s="2" t="s">
        <v>156</v>
      </c>
      <c r="F146" s="3" t="s">
        <v>156</v>
      </c>
      <c r="G146" s="2" t="s">
        <v>156</v>
      </c>
      <c r="H146" s="3" t="s">
        <v>156</v>
      </c>
      <c r="I146" s="2" t="s">
        <v>156</v>
      </c>
    </row>
    <row r="147" spans="2:9" x14ac:dyDescent="0.25">
      <c r="B147" s="3" t="s">
        <v>150</v>
      </c>
      <c r="C147" s="2">
        <v>0</v>
      </c>
      <c r="D147" s="3" t="s">
        <v>156</v>
      </c>
      <c r="E147" s="2" t="s">
        <v>156</v>
      </c>
      <c r="F147" s="3" t="s">
        <v>156</v>
      </c>
      <c r="G147" s="2" t="s">
        <v>156</v>
      </c>
      <c r="H147" s="3" t="s">
        <v>156</v>
      </c>
      <c r="I147" s="2" t="s">
        <v>156</v>
      </c>
    </row>
    <row r="148" spans="2:9" x14ac:dyDescent="0.25">
      <c r="B148" s="3" t="s">
        <v>151</v>
      </c>
      <c r="C148" s="2">
        <v>0</v>
      </c>
      <c r="D148" s="3" t="s">
        <v>156</v>
      </c>
      <c r="E148" s="2" t="s">
        <v>156</v>
      </c>
      <c r="F148" s="3" t="s">
        <v>156</v>
      </c>
      <c r="G148" s="2" t="s">
        <v>156</v>
      </c>
      <c r="H148" s="3" t="s">
        <v>156</v>
      </c>
      <c r="I148" s="2" t="s">
        <v>156</v>
      </c>
    </row>
    <row r="149" spans="2:9" x14ac:dyDescent="0.25">
      <c r="B149" s="3" t="s">
        <v>152</v>
      </c>
      <c r="C149" s="2">
        <v>0</v>
      </c>
      <c r="D149" s="3" t="s">
        <v>156</v>
      </c>
      <c r="E149" s="2" t="s">
        <v>156</v>
      </c>
      <c r="F149" s="3" t="s">
        <v>156</v>
      </c>
      <c r="G149" s="2" t="s">
        <v>156</v>
      </c>
      <c r="H149" s="3" t="s">
        <v>156</v>
      </c>
      <c r="I149" s="2" t="s">
        <v>156</v>
      </c>
    </row>
    <row r="150" spans="2:9" x14ac:dyDescent="0.25">
      <c r="B150" s="3" t="s">
        <v>153</v>
      </c>
      <c r="C150" s="2">
        <v>0</v>
      </c>
      <c r="D150" s="3" t="s">
        <v>156</v>
      </c>
      <c r="E150" s="2" t="s">
        <v>156</v>
      </c>
      <c r="F150" s="3" t="s">
        <v>156</v>
      </c>
      <c r="G150" s="2" t="s">
        <v>156</v>
      </c>
      <c r="H150" s="3" t="s">
        <v>156</v>
      </c>
      <c r="I150" s="2" t="s">
        <v>156</v>
      </c>
    </row>
    <row r="151" spans="2:9" x14ac:dyDescent="0.25">
      <c r="B151" s="3" t="s">
        <v>154</v>
      </c>
      <c r="C151" s="2">
        <v>0</v>
      </c>
      <c r="D151" s="3" t="s">
        <v>156</v>
      </c>
      <c r="E151" s="2" t="s">
        <v>156</v>
      </c>
      <c r="F151" s="3" t="s">
        <v>156</v>
      </c>
      <c r="G151" s="2" t="s">
        <v>156</v>
      </c>
      <c r="H151" s="3" t="s">
        <v>156</v>
      </c>
      <c r="I151" s="2" t="s">
        <v>156</v>
      </c>
    </row>
    <row r="152" spans="2:9" x14ac:dyDescent="0.25">
      <c r="B152" s="3" t="s">
        <v>155</v>
      </c>
      <c r="C152" s="2">
        <v>0</v>
      </c>
      <c r="D152" s="3" t="s">
        <v>156</v>
      </c>
      <c r="E152" s="2" t="s">
        <v>156</v>
      </c>
      <c r="F152" s="3" t="s">
        <v>156</v>
      </c>
      <c r="G152" s="2" t="s">
        <v>156</v>
      </c>
      <c r="H152" s="3" t="s">
        <v>156</v>
      </c>
      <c r="I152" s="2" t="s">
        <v>156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Conor K</cp:lastModifiedBy>
  <dcterms:created xsi:type="dcterms:W3CDTF">2025-11-19T08:48:00Z</dcterms:created>
  <dcterms:modified xsi:type="dcterms:W3CDTF">2026-01-06T05:28:34Z</dcterms:modified>
</cp:coreProperties>
</file>